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heng\Downloads\"/>
    </mc:Choice>
  </mc:AlternateContent>
  <xr:revisionPtr revIDLastSave="0" documentId="8_{76888A23-157C-467D-8896-A23AD13FB503}" xr6:coauthVersionLast="47" xr6:coauthVersionMax="47" xr10:uidLastSave="{00000000-0000-0000-0000-000000000000}"/>
  <bookViews>
    <workbookView xWindow="-108" yWindow="-108" windowWidth="23256" windowHeight="13896" xr2:uid="{3534FD7E-4696-4BD2-88E2-3C91D3978146}"/>
  </bookViews>
  <sheets>
    <sheet name="Sheet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D5" i="1"/>
  <c r="D6" i="1"/>
  <c r="H7" i="1"/>
  <c r="I7" i="1"/>
  <c r="D7" i="1"/>
  <c r="E6" i="1"/>
  <c r="E7" i="1" s="1"/>
  <c r="F6" i="1"/>
  <c r="F7" i="1" s="1"/>
  <c r="G6" i="1"/>
  <c r="G7" i="1" s="1"/>
  <c r="H6" i="1"/>
  <c r="I6" i="1"/>
  <c r="F5" i="1"/>
  <c r="E3" i="1"/>
  <c r="F3" i="1"/>
  <c r="G3" i="1"/>
  <c r="G5" i="1" s="1"/>
  <c r="H3" i="1"/>
  <c r="H5" i="1" s="1"/>
  <c r="I3" i="1"/>
  <c r="I5" i="1" s="1"/>
  <c r="D3" i="1"/>
  <c r="L1" i="1"/>
</calcChain>
</file>

<file path=xl/sharedStrings.xml><?xml version="1.0" encoding="utf-8"?>
<sst xmlns="http://schemas.openxmlformats.org/spreadsheetml/2006/main" count="7" uniqueCount="7">
  <si>
    <t>wA</t>
  </si>
  <si>
    <t>P</t>
  </si>
  <si>
    <t>nA</t>
  </si>
  <si>
    <t>nB</t>
  </si>
  <si>
    <r>
      <t>x</t>
    </r>
    <r>
      <rPr>
        <i/>
        <vertAlign val="subscript"/>
        <sz val="12"/>
        <color theme="1"/>
        <rFont val="LM Roman 10"/>
        <family val="3"/>
      </rPr>
      <t>A</t>
    </r>
  </si>
  <si>
    <r>
      <t>y</t>
    </r>
    <r>
      <rPr>
        <i/>
        <vertAlign val="subscript"/>
        <sz val="12"/>
        <color theme="1"/>
        <rFont val="LM Roman 10"/>
        <family val="3"/>
      </rPr>
      <t>A</t>
    </r>
  </si>
  <si>
    <r>
      <t>P</t>
    </r>
    <r>
      <rPr>
        <i/>
        <vertAlign val="subscript"/>
        <sz val="12"/>
        <color theme="1"/>
        <rFont val="LM Roman 10"/>
        <family val="3"/>
      </rPr>
      <t xml:space="preserve">A </t>
    </r>
    <r>
      <rPr>
        <sz val="12"/>
        <color theme="1"/>
        <rFont val="LM Roman 10"/>
        <family val="3"/>
      </rPr>
      <t>(kPa)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</si>
</sst>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Aptos Narrow"/>
      <family val="2"/>
      <scheme val="minor"/>
    </font>
    <font>
      <i/>
      <sz val="12"/>
      <color theme="1"/>
      <name val="LM Roman 10"/>
      <family val="3"/>
    </font>
    <font>
      <i/>
      <vertAlign val="subscript"/>
      <sz val="12"/>
      <color theme="1"/>
      <name val="LM Roman 10"/>
      <family val="3"/>
    </font>
    <font>
      <sz val="12"/>
      <color theme="1"/>
      <name val="LM Roman 10"/>
      <family val="3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  <xf numFmtId="164" fontId="3" fillId="3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A0798-0C79-43B5-B94C-5327192AD189}">
  <dimension ref="C1:L7"/>
  <sheetViews>
    <sheetView tabSelected="1" workbookViewId="0">
      <selection activeCell="J8" sqref="J8"/>
    </sheetView>
  </sheetViews>
  <sheetFormatPr defaultRowHeight="18.600000000000001" x14ac:dyDescent="0.45"/>
  <cols>
    <col min="1" max="2" width="8.88671875" style="2"/>
    <col min="3" max="9" width="10.77734375" style="2" customWidth="1"/>
    <col min="10" max="16384" width="8.88671875" style="2"/>
  </cols>
  <sheetData>
    <row r="1" spans="3:12" x14ac:dyDescent="0.45">
      <c r="C1" s="2" t="s">
        <v>0</v>
      </c>
      <c r="D1" s="2">
        <v>2</v>
      </c>
      <c r="E1" s="2">
        <v>3</v>
      </c>
      <c r="F1" s="2">
        <v>4</v>
      </c>
      <c r="G1" s="2">
        <v>5</v>
      </c>
      <c r="H1" s="2">
        <v>7.5</v>
      </c>
      <c r="I1" s="2">
        <v>10</v>
      </c>
      <c r="K1" s="2" t="s">
        <v>3</v>
      </c>
      <c r="L1" s="2">
        <f>100/18.02</f>
        <v>5.5493895671476139</v>
      </c>
    </row>
    <row r="2" spans="3:12" x14ac:dyDescent="0.45">
      <c r="C2" s="2" t="s">
        <v>1</v>
      </c>
      <c r="D2" s="2">
        <v>19.3</v>
      </c>
      <c r="E2" s="2">
        <v>29.6</v>
      </c>
      <c r="F2" s="2">
        <v>40.1</v>
      </c>
      <c r="G2" s="2">
        <v>51</v>
      </c>
      <c r="H2" s="2">
        <v>79.5</v>
      </c>
      <c r="I2" s="2">
        <v>110</v>
      </c>
    </row>
    <row r="3" spans="3:12" x14ac:dyDescent="0.45">
      <c r="C3" s="2" t="s">
        <v>2</v>
      </c>
      <c r="D3" s="2">
        <f>D1/17.03</f>
        <v>0.11743981209630064</v>
      </c>
      <c r="E3" s="2">
        <f t="shared" ref="E3:I3" si="0">E1/17.03</f>
        <v>0.17615971814445094</v>
      </c>
      <c r="F3" s="2">
        <f t="shared" si="0"/>
        <v>0.23487962419260128</v>
      </c>
      <c r="G3" s="2">
        <f t="shared" si="0"/>
        <v>0.29359953024075158</v>
      </c>
      <c r="H3" s="2">
        <f t="shared" si="0"/>
        <v>0.44039929536112737</v>
      </c>
      <c r="I3" s="2">
        <f t="shared" si="0"/>
        <v>0.58719906048150317</v>
      </c>
    </row>
    <row r="5" spans="3:12" x14ac:dyDescent="0.45">
      <c r="C5" s="1" t="s">
        <v>4</v>
      </c>
      <c r="D5" s="3">
        <f>D3/(D3+$L$1)</f>
        <v>2.0724077652037903E-2</v>
      </c>
      <c r="E5" s="3">
        <f>E3/(E3+$L$1)</f>
        <v>3.0767304474519933E-2</v>
      </c>
      <c r="F5" s="3">
        <f t="shared" ref="F5:I5" si="1">F3/(F3+$L$1)</f>
        <v>4.0606620546679587E-2</v>
      </c>
      <c r="G5" s="3">
        <f t="shared" si="1"/>
        <v>5.024817355417991E-2</v>
      </c>
      <c r="H5" s="3">
        <f t="shared" si="1"/>
        <v>7.3525011560536396E-2</v>
      </c>
      <c r="I5" s="3">
        <f t="shared" si="1"/>
        <v>9.5688190314358518E-2</v>
      </c>
    </row>
    <row r="6" spans="3:12" x14ac:dyDescent="0.45">
      <c r="C6" s="1" t="s">
        <v>6</v>
      </c>
      <c r="D6" s="4">
        <f>D2*101.325/760</f>
        <v>2.573121710526316</v>
      </c>
      <c r="E6" s="4">
        <f t="shared" ref="E6:I6" si="2">E2*101.325/760</f>
        <v>3.9463421052631582</v>
      </c>
      <c r="F6" s="4">
        <f t="shared" si="2"/>
        <v>5.3462269736842112</v>
      </c>
      <c r="G6" s="4">
        <f t="shared" si="2"/>
        <v>6.7994407894736844</v>
      </c>
      <c r="H6" s="4">
        <f t="shared" si="2"/>
        <v>10.599128289473684</v>
      </c>
      <c r="I6" s="4">
        <f t="shared" si="2"/>
        <v>14.665460526315789</v>
      </c>
    </row>
    <row r="7" spans="3:12" x14ac:dyDescent="0.45">
      <c r="C7" s="1" t="s">
        <v>5</v>
      </c>
      <c r="D7" s="3">
        <f>D6/105.1</f>
        <v>2.4482604286644304E-2</v>
      </c>
      <c r="E7" s="3">
        <f t="shared" ref="E7:I7" si="3">E6/105.1</f>
        <v>3.7548450097651363E-2</v>
      </c>
      <c r="F7" s="3">
        <f t="shared" si="3"/>
        <v>5.086800165256148E-2</v>
      </c>
      <c r="G7" s="3">
        <f t="shared" si="3"/>
        <v>6.469496469527769E-2</v>
      </c>
      <c r="H7" s="3">
        <f t="shared" si="3"/>
        <v>0.10084803320146228</v>
      </c>
      <c r="I7" s="3">
        <f t="shared" si="3"/>
        <v>0.13953815914667736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349067DA3DE94C88EE5D6D19C2C5ED" ma:contentTypeVersion="13" ma:contentTypeDescription="Create a new document." ma:contentTypeScope="" ma:versionID="6a0371ca40a98d881e89f261cc370a07">
  <xsd:schema xmlns:xsd="http://www.w3.org/2001/XMLSchema" xmlns:xs="http://www.w3.org/2001/XMLSchema" xmlns:p="http://schemas.microsoft.com/office/2006/metadata/properties" xmlns:ns3="fddcbb69-5ee9-4923-994d-03d6a9cf7e19" xmlns:ns4="39acffd2-7e01-411f-8cfb-a3393048a943" targetNamespace="http://schemas.microsoft.com/office/2006/metadata/properties" ma:root="true" ma:fieldsID="232f4cdf123a08d5ce9bf699da7eeb6f" ns3:_="" ns4:_="">
    <xsd:import namespace="fddcbb69-5ee9-4923-994d-03d6a9cf7e19"/>
    <xsd:import namespace="39acffd2-7e01-411f-8cfb-a3393048a9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dcbb69-5ee9-4923-994d-03d6a9cf7e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acffd2-7e01-411f-8cfb-a3393048a94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dcbb69-5ee9-4923-994d-03d6a9cf7e19" xsi:nil="true"/>
  </documentManagement>
</p:properties>
</file>

<file path=customXml/itemProps1.xml><?xml version="1.0" encoding="utf-8"?>
<ds:datastoreItem xmlns:ds="http://schemas.openxmlformats.org/officeDocument/2006/customXml" ds:itemID="{9708884B-4816-4D47-9A80-4774E2082A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dcbb69-5ee9-4923-994d-03d6a9cf7e19"/>
    <ds:schemaRef ds:uri="39acffd2-7e01-411f-8cfb-a3393048a9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848DF6-5E97-4881-ADE5-EC44EFE244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4CE8B04-F891-4AC8-970F-D7D979BE0DB9}">
  <ds:schemaRefs>
    <ds:schemaRef ds:uri="39acffd2-7e01-411f-8cfb-a3393048a943"/>
    <ds:schemaRef ds:uri="http://purl.org/dc/dcmitype/"/>
    <ds:schemaRef ds:uri="http://www.w3.org/XML/1998/namespace"/>
    <ds:schemaRef ds:uri="http://purl.org/dc/terms/"/>
    <ds:schemaRef ds:uri="fddcbb69-5ee9-4923-994d-03d6a9cf7e19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Heng1, Patrick V</dc:creator>
  <cp:lastModifiedBy>Heng1, Patrick V</cp:lastModifiedBy>
  <dcterms:created xsi:type="dcterms:W3CDTF">2025-02-03T04:39:13Z</dcterms:created>
  <dcterms:modified xsi:type="dcterms:W3CDTF">2025-04-25T21:05:05Z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0x01010087349067DA3DE94C88EE5D6D19C2C5ED</vt:lpwstr>
  </property>
</Properties>
</file>