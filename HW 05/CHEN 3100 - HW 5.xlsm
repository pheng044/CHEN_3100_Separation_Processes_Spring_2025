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heng\Downloads\"/>
    </mc:Choice>
  </mc:AlternateContent>
  <xr:revisionPtr revIDLastSave="0" documentId="8_{D0B91CAD-F718-42A4-BD13-160C0D133056}" xr6:coauthVersionLast="47" xr6:coauthVersionMax="47" xr10:uidLastSave="{00000000-0000-0000-0000-000000000000}"/>
  <bookViews>
    <workbookView xWindow="-108" yWindow="-108" windowWidth="23256" windowHeight="13896" xr2:uid="{90AB39BE-1458-4CC2-AC6D-C3D859A685D6}"/>
  </bookViews>
  <sheets>
    <sheet name="Sheet1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" i="1" l="1"/>
  <c r="Q8" i="1" s="1"/>
  <c r="Q7" i="1"/>
  <c r="Q5" i="1"/>
  <c r="P8" i="1"/>
  <c r="L14" i="1" s="1"/>
  <c r="P6" i="1"/>
  <c r="P7" i="1"/>
  <c r="P5" i="1"/>
  <c r="Q14" i="1"/>
  <c r="P14" i="1"/>
  <c r="U14" i="1" s="1" a="1"/>
  <c r="U14" i="1" s="1"/>
  <c r="W12" i="1" s="1"/>
  <c r="U17" i="1" a="1"/>
  <c r="U17" i="1" s="1"/>
  <c r="S17" i="1"/>
  <c r="Q17" i="1"/>
  <c r="P17" i="1"/>
  <c r="U11" i="1" a="1"/>
  <c r="U11" i="1" s="1"/>
  <c r="S11" i="1"/>
  <c r="Q11" i="1"/>
  <c r="P11" i="1"/>
  <c r="K14" i="1"/>
  <c r="M13" i="1"/>
  <c r="M14" i="1"/>
  <c r="I14" i="1"/>
  <c r="I12" i="1"/>
  <c r="I13" i="1"/>
  <c r="I11" i="1"/>
  <c r="H11" i="1"/>
  <c r="H12" i="1"/>
  <c r="H13" i="1"/>
  <c r="H14" i="1"/>
  <c r="F13" i="1"/>
  <c r="D12" i="1"/>
  <c r="D13" i="1"/>
  <c r="D11" i="1"/>
  <c r="E14" i="1"/>
  <c r="E12" i="1"/>
  <c r="E11" i="1"/>
  <c r="D14" i="1"/>
  <c r="L12" i="1" l="1"/>
  <c r="L13" i="1"/>
  <c r="L11" i="1"/>
  <c r="L15" i="1" s="1"/>
  <c r="J14" i="1"/>
  <c r="W13" i="1"/>
  <c r="X12" i="1" s="1"/>
  <c r="J11" i="1" l="1"/>
  <c r="J12" i="1"/>
  <c r="J13" i="1"/>
  <c r="J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<sst xmlns="http://schemas.openxmlformats.org/spreadsheetml/2006/main" count="43" uniqueCount="17">
  <si>
    <t>F</t>
  </si>
  <si>
    <t>S</t>
  </si>
  <si>
    <t>x_EG (out)</t>
  </si>
  <si>
    <t>x_EG (in)</t>
  </si>
  <si>
    <t>Comp.</t>
  </si>
  <si>
    <t>EG</t>
  </si>
  <si>
    <t>W</t>
  </si>
  <si>
    <t>f</t>
  </si>
  <si>
    <t>Tot.</t>
  </si>
  <si>
    <t>M</t>
  </si>
  <si>
    <t>x</t>
  </si>
  <si>
    <t>E</t>
  </si>
  <si>
    <t>R</t>
  </si>
  <si>
    <t>A-1</t>
  </si>
  <si>
    <t>=</t>
  </si>
  <si>
    <r>
      <t>m</t>
    </r>
    <r>
      <rPr>
        <i/>
        <vertAlign val="subscript"/>
        <sz val="11"/>
        <color theme="1"/>
        <rFont val="LM Roman 10"/>
        <family val="3"/>
      </rPr>
      <t>i</t>
    </r>
  </si>
  <si>
    <r>
      <t>x</t>
    </r>
    <r>
      <rPr>
        <i/>
        <vertAlign val="subscript"/>
        <sz val="11"/>
        <color theme="1"/>
        <rFont val="LM Roman 10"/>
        <family val="3"/>
      </rPr>
      <t>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</si>
</sst>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LM Roman 10"/>
      <family val="3"/>
    </font>
    <font>
      <i/>
      <sz val="11"/>
      <color theme="1"/>
      <name val="LM Roman 10"/>
      <family val="3"/>
    </font>
    <font>
      <i/>
      <vertAlign val="subscript"/>
      <sz val="11"/>
      <color theme="1"/>
      <name val="LM Roman 10"/>
      <family val="3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F2D08-2D4A-4AD5-A929-421FBCFE2B4E}">
  <dimension ref="C3:X23"/>
  <sheetViews>
    <sheetView tabSelected="1" workbookViewId="0">
      <selection activeCell="A11" sqref="A11"/>
    </sheetView>
  </sheetViews>
  <sheetFormatPr defaultRowHeight="18" x14ac:dyDescent="0.3"/>
  <cols>
    <col min="1" max="16384" width="8.88671875" style="3"/>
  </cols>
  <sheetData>
    <row r="3" spans="3:24" x14ac:dyDescent="0.3">
      <c r="C3" s="1" t="s">
        <v>0</v>
      </c>
      <c r="D3" s="2">
        <v>350</v>
      </c>
    </row>
    <row r="4" spans="3:24" x14ac:dyDescent="0.3">
      <c r="C4" s="1" t="s">
        <v>1</v>
      </c>
      <c r="D4" s="2">
        <v>100</v>
      </c>
      <c r="P4" s="3" t="s">
        <v>12</v>
      </c>
      <c r="Q4" s="3" t="s">
        <v>11</v>
      </c>
    </row>
    <row r="5" spans="3:24" x14ac:dyDescent="0.3">
      <c r="C5" s="1" t="s">
        <v>3</v>
      </c>
      <c r="D5" s="2">
        <v>0.2</v>
      </c>
      <c r="P5" s="3">
        <f>$H$14*(I11-K11)/(M11-K11)</f>
        <v>281.3455657492355</v>
      </c>
      <c r="Q5" s="3">
        <f>$H$14*(I11-M11)/(K11-M11)</f>
        <v>168.65443425076455</v>
      </c>
    </row>
    <row r="6" spans="3:24" x14ac:dyDescent="0.3">
      <c r="C6" s="1" t="s">
        <v>2</v>
      </c>
      <c r="D6" s="2">
        <v>2.5000000000000001E-2</v>
      </c>
      <c r="P6" s="3">
        <f t="shared" ref="P6:P7" si="0">$H$14*(I12-K12)/(M12-K12)</f>
        <v>303.04878048780483</v>
      </c>
      <c r="Q6" s="3">
        <f t="shared" ref="Q6:Q7" si="1">$H$14*(I12-M12)/(K12-M12)</f>
        <v>146.95121951219511</v>
      </c>
    </row>
    <row r="7" spans="3:24" x14ac:dyDescent="0.3">
      <c r="P7" s="3">
        <f t="shared" si="0"/>
        <v>318.08943089430892</v>
      </c>
      <c r="Q7" s="3">
        <f t="shared" si="1"/>
        <v>131.91056910569105</v>
      </c>
    </row>
    <row r="8" spans="3:24" x14ac:dyDescent="0.3">
      <c r="P8" s="3">
        <f>AVERAGE(P5:P7)</f>
        <v>300.82792571044973</v>
      </c>
      <c r="Q8" s="3">
        <f>AVERAGE(Q5:Q7)</f>
        <v>149.17207428955024</v>
      </c>
    </row>
    <row r="9" spans="3:24" x14ac:dyDescent="0.3">
      <c r="C9" s="18" t="s">
        <v>4</v>
      </c>
      <c r="D9" s="20" t="s">
        <v>0</v>
      </c>
      <c r="E9" s="21"/>
      <c r="F9" s="20" t="s">
        <v>1</v>
      </c>
      <c r="G9" s="21"/>
      <c r="H9" s="20" t="s">
        <v>9</v>
      </c>
      <c r="I9" s="21"/>
      <c r="J9" s="20" t="s">
        <v>11</v>
      </c>
      <c r="K9" s="21"/>
      <c r="L9" s="20" t="s">
        <v>12</v>
      </c>
      <c r="M9" s="21"/>
    </row>
    <row r="10" spans="3:24" x14ac:dyDescent="0.3">
      <c r="C10" s="19"/>
      <c r="D10" s="13" t="s">
        <v>15</v>
      </c>
      <c r="E10" s="13" t="s">
        <v>16</v>
      </c>
      <c r="F10" s="13" t="s">
        <v>15</v>
      </c>
      <c r="G10" s="13" t="s">
        <v>16</v>
      </c>
      <c r="H10" s="13" t="s">
        <v>15</v>
      </c>
      <c r="I10" s="13" t="s">
        <v>16</v>
      </c>
      <c r="J10" s="13" t="s">
        <v>15</v>
      </c>
      <c r="K10" s="13" t="s">
        <v>16</v>
      </c>
      <c r="L10" s="13" t="s">
        <v>15</v>
      </c>
      <c r="M10" s="13" t="s">
        <v>16</v>
      </c>
      <c r="Q10" s="3" t="s">
        <v>13</v>
      </c>
    </row>
    <row r="11" spans="3:24" x14ac:dyDescent="0.3">
      <c r="C11" s="1" t="s">
        <v>5</v>
      </c>
      <c r="D11" s="6">
        <f>E11*D$14</f>
        <v>70</v>
      </c>
      <c r="E11" s="16">
        <f>D5</f>
        <v>0.2</v>
      </c>
      <c r="F11" s="16">
        <v>0</v>
      </c>
      <c r="G11" s="16">
        <v>0</v>
      </c>
      <c r="H11" s="6">
        <f t="shared" ref="H11:H13" si="2">D11+F11</f>
        <v>70</v>
      </c>
      <c r="I11" s="7">
        <f>H11/$H$14</f>
        <v>0.15555555555555556</v>
      </c>
      <c r="J11" s="9">
        <f>$J$14*K11</f>
        <v>53.701946744238093</v>
      </c>
      <c r="K11" s="4">
        <v>0.36</v>
      </c>
      <c r="L11" s="8">
        <f>M11*$L$14</f>
        <v>9.9273215484448425</v>
      </c>
      <c r="M11" s="4">
        <v>3.3000000000000002E-2</v>
      </c>
      <c r="P11" s="5">
        <f>K11</f>
        <v>0.36</v>
      </c>
      <c r="Q11" s="5">
        <f>M11</f>
        <v>3.3000000000000002E-2</v>
      </c>
      <c r="R11" s="3" t="s">
        <v>10</v>
      </c>
      <c r="S11" s="3">
        <f>H11</f>
        <v>70</v>
      </c>
      <c r="T11" s="3" t="s">
        <v>14</v>
      </c>
      <c r="U11" s="3" cm="1">
        <f t="array" ref="U11:U12">MMULT(MINVERSE(P11:Q12),S11:S12)</f>
        <v>168.65443425076455</v>
      </c>
    </row>
    <row r="12" spans="3:24" x14ac:dyDescent="0.3">
      <c r="C12" s="1" t="s">
        <v>6</v>
      </c>
      <c r="D12" s="6">
        <f t="shared" ref="D12:D13" si="3">E12*D$14</f>
        <v>280</v>
      </c>
      <c r="E12" s="16">
        <f>1-E11</f>
        <v>0.8</v>
      </c>
      <c r="F12" s="16">
        <v>0</v>
      </c>
      <c r="G12" s="16">
        <v>0</v>
      </c>
      <c r="H12" s="6">
        <f t="shared" si="2"/>
        <v>280</v>
      </c>
      <c r="I12" s="7">
        <f t="shared" ref="I12:I13" si="4">H12/$H$14</f>
        <v>0.62222222222222223</v>
      </c>
      <c r="J12" s="9">
        <f t="shared" ref="J12:J13" si="5">$J$14*K12</f>
        <v>10.44204520026852</v>
      </c>
      <c r="K12" s="4">
        <v>7.0000000000000007E-2</v>
      </c>
      <c r="L12" s="10">
        <f t="shared" ref="L12:L13" si="6">M12*$L$14</f>
        <v>267.7368538823003</v>
      </c>
      <c r="M12" s="4">
        <v>0.89</v>
      </c>
      <c r="P12" s="3">
        <v>1</v>
      </c>
      <c r="Q12" s="3">
        <v>1</v>
      </c>
      <c r="S12" s="3">
        <v>450</v>
      </c>
      <c r="U12" s="3">
        <v>281.34556574923545</v>
      </c>
      <c r="W12" s="3">
        <f>AVERAGE(U11,U14,U17)</f>
        <v>149.17207428955024</v>
      </c>
      <c r="X12" s="3">
        <f>SUM(W12:W13)</f>
        <v>450</v>
      </c>
    </row>
    <row r="13" spans="3:24" x14ac:dyDescent="0.3">
      <c r="C13" s="1" t="s">
        <v>7</v>
      </c>
      <c r="D13" s="15">
        <f t="shared" si="3"/>
        <v>0</v>
      </c>
      <c r="E13" s="16">
        <v>0</v>
      </c>
      <c r="F13" s="6">
        <f>D4</f>
        <v>100</v>
      </c>
      <c r="G13" s="16">
        <v>1</v>
      </c>
      <c r="H13" s="6">
        <f t="shared" si="2"/>
        <v>100</v>
      </c>
      <c r="I13" s="7">
        <f t="shared" si="4"/>
        <v>0.22222222222222221</v>
      </c>
      <c r="J13" s="9">
        <f t="shared" si="5"/>
        <v>85.028082345043643</v>
      </c>
      <c r="K13" s="3">
        <v>0.56999999999999995</v>
      </c>
      <c r="L13" s="9">
        <f t="shared" si="6"/>
        <v>23.46457820541508</v>
      </c>
      <c r="M13" s="4">
        <f>0.078</f>
        <v>7.8E-2</v>
      </c>
      <c r="W13" s="3">
        <f>AVERAGE(U12,U15,U18)</f>
        <v>300.82792571044973</v>
      </c>
    </row>
    <row r="14" spans="3:24" x14ac:dyDescent="0.3">
      <c r="C14" s="1" t="s">
        <v>8</v>
      </c>
      <c r="D14" s="6">
        <f>D3</f>
        <v>350</v>
      </c>
      <c r="E14" s="16">
        <f>SUM(E11:E13)</f>
        <v>1</v>
      </c>
      <c r="F14" s="6">
        <v>100</v>
      </c>
      <c r="G14" s="16">
        <v>1</v>
      </c>
      <c r="H14" s="6">
        <f>D14+F14</f>
        <v>450</v>
      </c>
      <c r="I14" s="16">
        <f>SUM(I11:I13)</f>
        <v>1</v>
      </c>
      <c r="J14" s="10">
        <f>H14-L14</f>
        <v>149.17207428955027</v>
      </c>
      <c r="K14" s="8">
        <f>SUM(K11:K13)</f>
        <v>1</v>
      </c>
      <c r="L14" s="10">
        <f>P8</f>
        <v>300.82792571044973</v>
      </c>
      <c r="M14" s="8">
        <f>SUM(M11:M13)</f>
        <v>1.0010000000000001</v>
      </c>
      <c r="P14" s="5">
        <f>K12</f>
        <v>7.0000000000000007E-2</v>
      </c>
      <c r="Q14" s="5">
        <f>M12</f>
        <v>0.89</v>
      </c>
      <c r="S14" s="3">
        <v>280</v>
      </c>
      <c r="U14" s="3" cm="1">
        <f t="array" ref="U14:U15">MMULT(MINVERSE(P14:Q15),S14:S15)</f>
        <v>146.95121951219517</v>
      </c>
    </row>
    <row r="15" spans="3:24" x14ac:dyDescent="0.3">
      <c r="J15" s="11">
        <f>SUM(J11:J13)</f>
        <v>149.17207428955027</v>
      </c>
      <c r="L15" s="12">
        <f>SUM(L11:L13)</f>
        <v>301.12875363616024</v>
      </c>
      <c r="P15" s="5">
        <v>1</v>
      </c>
      <c r="Q15" s="5">
        <v>1</v>
      </c>
      <c r="S15" s="3">
        <v>450</v>
      </c>
      <c r="U15" s="3">
        <v>303.04878048780483</v>
      </c>
    </row>
    <row r="17" spans="3:21" x14ac:dyDescent="0.3">
      <c r="P17" s="5">
        <f>K13</f>
        <v>0.56999999999999995</v>
      </c>
      <c r="Q17" s="5">
        <f>M13</f>
        <v>7.8E-2</v>
      </c>
      <c r="S17" s="3">
        <f>H13</f>
        <v>100</v>
      </c>
      <c r="U17" s="3" cm="1">
        <f t="array" ref="U17:U18">MMULT(MINVERSE(P17:Q18),S17:S18)</f>
        <v>131.91056910569102</v>
      </c>
    </row>
    <row r="18" spans="3:21" x14ac:dyDescent="0.3">
      <c r="C18" s="18" t="s">
        <v>4</v>
      </c>
      <c r="D18" s="20" t="s">
        <v>9</v>
      </c>
      <c r="E18" s="21"/>
      <c r="F18" s="20" t="s">
        <v>11</v>
      </c>
      <c r="G18" s="21"/>
      <c r="H18" s="20" t="s">
        <v>12</v>
      </c>
      <c r="I18" s="21"/>
      <c r="P18" s="3">
        <v>1</v>
      </c>
      <c r="Q18" s="3">
        <v>1</v>
      </c>
      <c r="S18" s="3">
        <v>450</v>
      </c>
      <c r="U18" s="3">
        <v>318.08943089430898</v>
      </c>
    </row>
    <row r="19" spans="3:21" x14ac:dyDescent="0.3">
      <c r="C19" s="19"/>
      <c r="D19" s="13" t="s">
        <v>15</v>
      </c>
      <c r="E19" s="13" t="s">
        <v>16</v>
      </c>
      <c r="F19" s="13" t="s">
        <v>15</v>
      </c>
      <c r="G19" s="13" t="s">
        <v>16</v>
      </c>
      <c r="H19" s="13" t="s">
        <v>15</v>
      </c>
      <c r="I19" s="13" t="s">
        <v>16</v>
      </c>
    </row>
    <row r="20" spans="3:21" x14ac:dyDescent="0.3">
      <c r="C20" s="1" t="s">
        <v>5</v>
      </c>
      <c r="D20" s="6">
        <v>70</v>
      </c>
      <c r="E20" s="7">
        <v>0.15555555555555556</v>
      </c>
      <c r="F20" s="14">
        <v>53.701946744238093</v>
      </c>
      <c r="G20" s="7">
        <v>0.36</v>
      </c>
      <c r="H20" s="16">
        <v>9.9273215484448425</v>
      </c>
      <c r="I20" s="7">
        <v>3.3000000000000002E-2</v>
      </c>
    </row>
    <row r="21" spans="3:21" x14ac:dyDescent="0.3">
      <c r="C21" s="1" t="s">
        <v>6</v>
      </c>
      <c r="D21" s="6">
        <v>280</v>
      </c>
      <c r="E21" s="7">
        <v>0.62222222222222223</v>
      </c>
      <c r="F21" s="14">
        <v>10.44204520026852</v>
      </c>
      <c r="G21" s="7">
        <v>7.0000000000000007E-2</v>
      </c>
      <c r="H21" s="15">
        <v>267.7368538823003</v>
      </c>
      <c r="I21" s="7">
        <v>0.89</v>
      </c>
    </row>
    <row r="22" spans="3:21" x14ac:dyDescent="0.3">
      <c r="C22" s="1" t="s">
        <v>7</v>
      </c>
      <c r="D22" s="6">
        <v>100</v>
      </c>
      <c r="E22" s="7">
        <v>0.22222222222222221</v>
      </c>
      <c r="F22" s="14">
        <v>85.028082345043643</v>
      </c>
      <c r="G22" s="17">
        <v>0.56999999999999995</v>
      </c>
      <c r="H22" s="14">
        <v>23.46457820541508</v>
      </c>
      <c r="I22" s="7">
        <v>7.8E-2</v>
      </c>
    </row>
    <row r="23" spans="3:21" x14ac:dyDescent="0.3">
      <c r="C23" s="1" t="s">
        <v>8</v>
      </c>
      <c r="D23" s="6">
        <v>450</v>
      </c>
      <c r="E23" s="16">
        <v>1</v>
      </c>
      <c r="F23" s="15">
        <v>149.17207428955027</v>
      </c>
      <c r="G23" s="16">
        <v>1</v>
      </c>
      <c r="H23" s="15">
        <v>300.82792571044973</v>
      </c>
      <c r="I23" s="16">
        <v>1.0010000000000001</v>
      </c>
    </row>
  </sheetData>
  <mergeCells count="10">
    <mergeCell ref="J9:K9"/>
    <mergeCell ref="L9:M9"/>
    <mergeCell ref="C9:C10"/>
    <mergeCell ref="C18:C19"/>
    <mergeCell ref="D18:E18"/>
    <mergeCell ref="F18:G18"/>
    <mergeCell ref="H18:I18"/>
    <mergeCell ref="D9:E9"/>
    <mergeCell ref="F9:G9"/>
    <mergeCell ref="H9:I9"/>
  </mergeCell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dcbb69-5ee9-4923-994d-03d6a9cf7e1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349067DA3DE94C88EE5D6D19C2C5ED" ma:contentTypeVersion="13" ma:contentTypeDescription="Create a new document." ma:contentTypeScope="" ma:versionID="6a0371ca40a98d881e89f261cc370a07">
  <xsd:schema xmlns:xsd="http://www.w3.org/2001/XMLSchema" xmlns:xs="http://www.w3.org/2001/XMLSchema" xmlns:p="http://schemas.microsoft.com/office/2006/metadata/properties" xmlns:ns3="fddcbb69-5ee9-4923-994d-03d6a9cf7e19" xmlns:ns4="39acffd2-7e01-411f-8cfb-a3393048a943" targetNamespace="http://schemas.microsoft.com/office/2006/metadata/properties" ma:root="true" ma:fieldsID="232f4cdf123a08d5ce9bf699da7eeb6f" ns3:_="" ns4:_="">
    <xsd:import namespace="fddcbb69-5ee9-4923-994d-03d6a9cf7e19"/>
    <xsd:import namespace="39acffd2-7e01-411f-8cfb-a3393048a9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dcbb69-5ee9-4923-994d-03d6a9cf7e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acffd2-7e01-411f-8cfb-a3393048a94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8AC591E-99A4-43A5-80D1-1A28811A474A}">
  <ds:schemaRefs>
    <ds:schemaRef ds:uri="http://purl.org/dc/terms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fddcbb69-5ee9-4923-994d-03d6a9cf7e19"/>
    <ds:schemaRef ds:uri="http://schemas.openxmlformats.org/package/2006/metadata/core-properties"/>
    <ds:schemaRef ds:uri="39acffd2-7e01-411f-8cfb-a3393048a943"/>
  </ds:schemaRefs>
</ds:datastoreItem>
</file>

<file path=customXml/itemProps2.xml><?xml version="1.0" encoding="utf-8"?>
<ds:datastoreItem xmlns:ds="http://schemas.openxmlformats.org/officeDocument/2006/customXml" ds:itemID="{7883C853-0186-4501-88D6-D302471189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D964FD-361A-4E7B-A0BF-0529188AD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dcbb69-5ee9-4923-994d-03d6a9cf7e19"/>
    <ds:schemaRef ds:uri="39acffd2-7e01-411f-8cfb-a3393048a9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Heng1, Patrick V</dc:creator>
  <cp:lastModifiedBy>Heng1, Patrick V</cp:lastModifiedBy>
  <dcterms:created xsi:type="dcterms:W3CDTF">2025-02-09T17:44:36Z</dcterms:created>
  <dcterms:modified xsi:type="dcterms:W3CDTF">2025-04-25T21:06:11Z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0x01010087349067DA3DE94C88EE5D6D19C2C5ED</vt:lpwstr>
  </property>
</Properties>
</file>