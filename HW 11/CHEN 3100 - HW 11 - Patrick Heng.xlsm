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heng\Downloads\"/>
    </mc:Choice>
  </mc:AlternateContent>
  <xr:revisionPtr revIDLastSave="0" documentId="8_{BD8EDAC5-106A-4EF0-9CB3-6C70C82A8202}" xr6:coauthVersionLast="47" xr6:coauthVersionMax="47" xr10:uidLastSave="{00000000-0000-0000-0000-000000000000}"/>
  <bookViews>
    <workbookView xWindow="-108" yWindow="-108" windowWidth="23256" windowHeight="13896" xr2:uid="{18EEAD8B-20B7-422E-8B34-EEB91F92EA08}"/>
  </bookViews>
  <sheets>
    <sheet name="Sheet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8" i="1" l="1"/>
  <c r="AO17" i="1"/>
  <c r="AL17" i="1"/>
  <c r="AP17" i="1" s="1"/>
  <c r="AQ17" i="1" s="1"/>
  <c r="AO16" i="1"/>
  <c r="AL16" i="1"/>
  <c r="AP16" i="1" s="1"/>
  <c r="AQ16" i="1" s="1"/>
  <c r="AN15" i="1"/>
  <c r="AP15" i="1" s="1"/>
  <c r="AQ15" i="1" s="1"/>
  <c r="AL15" i="1"/>
  <c r="AL14" i="1"/>
  <c r="Z15" i="1"/>
  <c r="Z19" i="1" s="1"/>
  <c r="AD19" i="1"/>
  <c r="AC19" i="1"/>
  <c r="AG18" i="1"/>
  <c r="AG17" i="1"/>
  <c r="AG16" i="1"/>
  <c r="AG15" i="1"/>
  <c r="Y19" i="1"/>
  <c r="AO15" i="1" l="1"/>
  <c r="AL18" i="1"/>
  <c r="AN14" i="1"/>
  <c r="AN18" i="1" l="1"/>
  <c r="AO14" i="1"/>
  <c r="AO18" i="1" s="1"/>
  <c r="AP14" i="1"/>
  <c r="AN8" i="1"/>
  <c r="AN7" i="1"/>
  <c r="AP7" i="1" s="1"/>
  <c r="AL5" i="1"/>
  <c r="AL6" i="1"/>
  <c r="AL7" i="1"/>
  <c r="AL8" i="1"/>
  <c r="AL9" i="1"/>
  <c r="AM9" i="1"/>
  <c r="AP8" i="1"/>
  <c r="AN6" i="1"/>
  <c r="AP6" i="1" s="1"/>
  <c r="AN5" i="1"/>
  <c r="AB6" i="1"/>
  <c r="AG6" i="1" s="1"/>
  <c r="AB7" i="1"/>
  <c r="AG7" i="1" s="1"/>
  <c r="AB8" i="1"/>
  <c r="AG8" i="1" s="1"/>
  <c r="AB5" i="1"/>
  <c r="AG5" i="1" s="1"/>
  <c r="Z9" i="1"/>
  <c r="O6" i="1"/>
  <c r="Q6" i="1" s="1"/>
  <c r="O7" i="1"/>
  <c r="S7" i="1" s="1"/>
  <c r="O8" i="1"/>
  <c r="S8" i="1" s="1"/>
  <c r="O5" i="1"/>
  <c r="Q5" i="1" s="1"/>
  <c r="P9" i="1"/>
  <c r="AP18" i="1" l="1"/>
  <c r="AQ14" i="1"/>
  <c r="AQ18" i="1" s="1"/>
  <c r="AN9" i="1"/>
  <c r="O9" i="1"/>
  <c r="S5" i="1"/>
  <c r="S6" i="1"/>
  <c r="AP5" i="1"/>
  <c r="Q9" i="1"/>
  <c r="S9" i="1"/>
  <c r="AQ8" i="1" s="1"/>
  <c r="T6" i="1" l="1"/>
  <c r="AD6" i="1" s="1"/>
  <c r="R7" i="1"/>
  <c r="Y7" i="1" s="1"/>
  <c r="R8" i="1"/>
  <c r="Y8" i="1" s="1"/>
  <c r="AO7" i="1"/>
  <c r="AO8" i="1"/>
  <c r="AQ7" i="1"/>
  <c r="T5" i="1"/>
  <c r="AO5" i="1"/>
  <c r="AO6" i="1"/>
  <c r="AQ6" i="1"/>
  <c r="R6" i="1"/>
  <c r="T8" i="1"/>
  <c r="AD8" i="1" s="1"/>
  <c r="R5" i="1"/>
  <c r="Y5" i="1" s="1"/>
  <c r="T7" i="1"/>
  <c r="AD7" i="1" s="1"/>
  <c r="AP9" i="1"/>
  <c r="AQ5" i="1"/>
  <c r="AQ9" i="1" l="1"/>
  <c r="AO9" i="1"/>
  <c r="AD5" i="1"/>
  <c r="AD9" i="1" s="1"/>
  <c r="D11" i="1"/>
  <c r="T9" i="1"/>
  <c r="R9" i="1"/>
  <c r="Y6" i="1"/>
  <c r="Y9" i="1" s="1"/>
  <c r="AC9" i="1"/>
</calcChain>
</file>

<file path=xl/sharedStrings.xml><?xml version="1.0" encoding="utf-8"?>
<sst xmlns="http://schemas.openxmlformats.org/spreadsheetml/2006/main" count="99" uniqueCount="34">
  <si>
    <t>Comp.</t>
  </si>
  <si>
    <t>i</t>
  </si>
  <si>
    <t>Methanol</t>
  </si>
  <si>
    <t>Ethanol</t>
  </si>
  <si>
    <t>n-Propanol</t>
  </si>
  <si>
    <t>n-Butanol</t>
  </si>
  <si>
    <t>ω</t>
  </si>
  <si>
    <r>
      <rPr>
        <i/>
        <sz val="11"/>
        <color theme="1"/>
        <rFont val="LM Roman 10"/>
        <family val="3"/>
      </rPr>
      <t>T</t>
    </r>
    <r>
      <rPr>
        <i/>
        <vertAlign val="subscript"/>
        <sz val="11"/>
        <color theme="1"/>
        <rFont val="LM Roman 10"/>
        <family val="3"/>
      </rPr>
      <t>npb</t>
    </r>
    <r>
      <rPr>
        <sz val="11"/>
        <color theme="1"/>
        <rFont val="LM Roman 10"/>
        <family val="3"/>
      </rPr>
      <t xml:space="preserve"> (K)</t>
    </r>
  </si>
  <si>
    <r>
      <rPr>
        <i/>
        <sz val="11"/>
        <color theme="1"/>
        <rFont val="LM Roman 10"/>
        <family val="3"/>
      </rPr>
      <t>T</t>
    </r>
    <r>
      <rPr>
        <i/>
        <vertAlign val="subscript"/>
        <sz val="11"/>
        <color theme="1"/>
        <rFont val="LM Roman 10"/>
        <family val="3"/>
      </rPr>
      <t>c</t>
    </r>
    <r>
      <rPr>
        <sz val="11"/>
        <color theme="1"/>
        <rFont val="LM Roman 10"/>
        <family val="3"/>
      </rPr>
      <t xml:space="preserve"> (K)</t>
    </r>
  </si>
  <si>
    <r>
      <rPr>
        <i/>
        <sz val="11"/>
        <color theme="1"/>
        <rFont val="LM Roman 10"/>
        <family val="3"/>
      </rPr>
      <t>P</t>
    </r>
    <r>
      <rPr>
        <i/>
        <vertAlign val="subscript"/>
        <sz val="11"/>
        <color theme="1"/>
        <rFont val="LM Roman 10"/>
        <family val="3"/>
      </rPr>
      <t>c</t>
    </r>
    <r>
      <rPr>
        <sz val="11"/>
        <color theme="1"/>
        <rFont val="LM Roman 10"/>
        <family val="3"/>
      </rPr>
      <t xml:space="preserve"> (bar)</t>
    </r>
  </si>
  <si>
    <t>A</t>
  </si>
  <si>
    <t>B</t>
  </si>
  <si>
    <t>C</t>
  </si>
  <si>
    <t>Antoine Parameters</t>
  </si>
  <si>
    <t>Critical Constants</t>
  </si>
  <si>
    <t>Σ</t>
  </si>
  <si>
    <r>
      <t>x</t>
    </r>
    <r>
      <rPr>
        <i/>
        <vertAlign val="subscript"/>
        <sz val="11"/>
        <color theme="1"/>
        <rFont val="LM Roman 10"/>
        <family val="3"/>
      </rPr>
      <t>F,i</t>
    </r>
  </si>
  <si>
    <r>
      <t>x</t>
    </r>
    <r>
      <rPr>
        <i/>
        <vertAlign val="subscript"/>
        <sz val="11"/>
        <color theme="1"/>
        <rFont val="LM Roman 10"/>
        <family val="3"/>
      </rPr>
      <t>D,i</t>
    </r>
  </si>
  <si>
    <r>
      <t>x</t>
    </r>
    <r>
      <rPr>
        <i/>
        <vertAlign val="subscript"/>
        <sz val="11"/>
        <color theme="1"/>
        <rFont val="LM Roman 10"/>
        <family val="3"/>
      </rPr>
      <t>B,i</t>
    </r>
  </si>
  <si>
    <t>F</t>
  </si>
  <si>
    <r>
      <t>y</t>
    </r>
    <r>
      <rPr>
        <i/>
        <vertAlign val="subscript"/>
        <sz val="11"/>
        <color theme="1"/>
        <rFont val="LM Roman 10"/>
        <family val="3"/>
      </rPr>
      <t>i</t>
    </r>
  </si>
  <si>
    <r>
      <t>x</t>
    </r>
    <r>
      <rPr>
        <i/>
        <vertAlign val="subscript"/>
        <sz val="11"/>
        <color theme="1"/>
        <rFont val="LM Roman 10"/>
        <family val="3"/>
      </rPr>
      <t>i</t>
    </r>
  </si>
  <si>
    <r>
      <t>K</t>
    </r>
    <r>
      <rPr>
        <i/>
        <vertAlign val="subscript"/>
        <sz val="11"/>
        <color theme="1"/>
        <rFont val="LM Roman 10"/>
        <family val="3"/>
      </rPr>
      <t>i</t>
    </r>
  </si>
  <si>
    <r>
      <rPr>
        <sz val="11"/>
        <color theme="1"/>
        <rFont val="LM Roman 10"/>
        <family val="3"/>
      </rPr>
      <t>α</t>
    </r>
    <r>
      <rPr>
        <i/>
        <vertAlign val="subscript"/>
        <sz val="11"/>
        <color theme="1"/>
        <rFont val="LM Roman 10"/>
        <family val="3"/>
      </rPr>
      <t>ij</t>
    </r>
  </si>
  <si>
    <t>Distillate</t>
  </si>
  <si>
    <t>Bottoms</t>
  </si>
  <si>
    <t>-</t>
  </si>
  <si>
    <r>
      <rPr>
        <i/>
        <sz val="11"/>
        <color theme="1"/>
        <rFont val="LM Roman 10"/>
        <family val="3"/>
      </rPr>
      <t>T</t>
    </r>
    <r>
      <rPr>
        <i/>
        <vertAlign val="subscript"/>
        <sz val="11"/>
        <color theme="1"/>
        <rFont val="LM Roman 10"/>
        <family val="3"/>
      </rPr>
      <t xml:space="preserve">D </t>
    </r>
    <r>
      <rPr>
        <sz val="11"/>
        <color theme="1"/>
        <rFont val="LM Roman 10"/>
        <family val="3"/>
      </rPr>
      <t>(K):</t>
    </r>
  </si>
  <si>
    <r>
      <rPr>
        <i/>
        <sz val="11"/>
        <color theme="1"/>
        <rFont val="LM Roman 10"/>
        <family val="3"/>
      </rPr>
      <t>T</t>
    </r>
    <r>
      <rPr>
        <i/>
        <vertAlign val="subscript"/>
        <sz val="11"/>
        <color theme="1"/>
        <rFont val="LM Roman 10"/>
        <family val="3"/>
      </rPr>
      <t>B</t>
    </r>
    <r>
      <rPr>
        <sz val="11"/>
        <color theme="1"/>
        <rFont val="LM Roman 10"/>
        <family val="3"/>
      </rPr>
      <t xml:space="preserve"> (K):</t>
    </r>
  </si>
  <si>
    <r>
      <t>f</t>
    </r>
    <r>
      <rPr>
        <i/>
        <vertAlign val="subscript"/>
        <sz val="11"/>
        <color theme="1"/>
        <rFont val="LM Roman 10"/>
        <family val="3"/>
      </rPr>
      <t>i</t>
    </r>
    <r>
      <rPr>
        <sz val="11"/>
        <color theme="1"/>
        <rFont val="LM Roman 10"/>
        <family val="3"/>
      </rPr>
      <t>(mol/hr)</t>
    </r>
  </si>
  <si>
    <r>
      <t>d</t>
    </r>
    <r>
      <rPr>
        <i/>
        <vertAlign val="subscript"/>
        <sz val="11"/>
        <color theme="1"/>
        <rFont val="LM Roman 10"/>
        <family val="3"/>
      </rPr>
      <t>i</t>
    </r>
    <r>
      <rPr>
        <sz val="11"/>
        <color theme="1"/>
        <rFont val="LM Roman 10"/>
        <family val="3"/>
      </rPr>
      <t>(mol/hr)</t>
    </r>
  </si>
  <si>
    <r>
      <t>b</t>
    </r>
    <r>
      <rPr>
        <i/>
        <vertAlign val="subscript"/>
        <sz val="11"/>
        <color theme="1"/>
        <rFont val="LM Roman 10"/>
        <family val="3"/>
      </rPr>
      <t>i</t>
    </r>
    <r>
      <rPr>
        <sz val="11"/>
        <color theme="1"/>
        <rFont val="LM Roman 10"/>
        <family val="3"/>
      </rPr>
      <t xml:space="preserve">(mol/hr) </t>
    </r>
  </si>
  <si>
    <r>
      <rPr>
        <sz val="11"/>
        <color theme="1"/>
        <rFont val="LM Roman 10"/>
        <family val="3"/>
      </rPr>
      <t>(</t>
    </r>
    <r>
      <rPr>
        <i/>
        <sz val="11"/>
        <color theme="1"/>
        <rFont val="LM Roman 10"/>
        <family val="3"/>
      </rPr>
      <t>α</t>
    </r>
    <r>
      <rPr>
        <i/>
        <vertAlign val="subscript"/>
        <sz val="11"/>
        <color theme="1"/>
        <rFont val="LM Roman 10"/>
        <family val="3"/>
      </rPr>
      <t>ij</t>
    </r>
    <r>
      <rPr>
        <sz val="11"/>
        <color theme="1"/>
        <rFont val="LM Roman 10"/>
        <family val="3"/>
      </rPr>
      <t>)</t>
    </r>
    <r>
      <rPr>
        <i/>
        <vertAlign val="subscript"/>
        <sz val="11"/>
        <color theme="1"/>
        <rFont val="LM Roman 10"/>
        <family val="3"/>
      </rPr>
      <t>M</t>
    </r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</si>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</sst>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LM Roman 10"/>
      <family val="3"/>
    </font>
    <font>
      <i/>
      <sz val="11"/>
      <color theme="1"/>
      <name val="LM Roman 10"/>
      <family val="3"/>
    </font>
    <font>
      <i/>
      <vertAlign val="subscript"/>
      <sz val="11"/>
      <color theme="1"/>
      <name val="LM Roman 10"/>
      <family val="3"/>
    </font>
    <font>
      <sz val="8"/>
      <color rgb="FF00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16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1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3FF4B-3279-4FC2-B951-4A32BF7AAF4E}">
  <dimension ref="B3:AQ21"/>
  <sheetViews>
    <sheetView tabSelected="1" topLeftCell="AI1" zoomScale="124" workbookViewId="0">
      <selection activeCell="AP18" sqref="AP18"/>
    </sheetView>
  </sheetViews>
  <sheetFormatPr defaultRowHeight="18" x14ac:dyDescent="0.3"/>
  <cols>
    <col min="1" max="1" width="8.88671875" style="1"/>
    <col min="2" max="2" width="10.77734375" style="1" customWidth="1"/>
    <col min="3" max="10" width="9.77734375" style="1" customWidth="1"/>
    <col min="11" max="12" width="8.88671875" style="1"/>
    <col min="13" max="20" width="11.77734375" style="1" customWidth="1"/>
    <col min="21" max="22" width="8.88671875" style="1"/>
    <col min="23" max="23" width="10.77734375" style="1" customWidth="1"/>
    <col min="24" max="35" width="8.88671875" style="1"/>
    <col min="36" max="43" width="11.77734375" style="1" customWidth="1"/>
    <col min="44" max="16384" width="8.88671875" style="1"/>
  </cols>
  <sheetData>
    <row r="3" spans="2:43" x14ac:dyDescent="0.3">
      <c r="M3" s="1" t="s">
        <v>19</v>
      </c>
      <c r="N3" s="1">
        <v>100</v>
      </c>
      <c r="W3" s="14"/>
      <c r="X3" s="14"/>
      <c r="Y3" s="14" t="s">
        <v>24</v>
      </c>
      <c r="Z3" s="14"/>
      <c r="AA3" s="14"/>
      <c r="AB3" s="14"/>
      <c r="AC3" s="14" t="s">
        <v>25</v>
      </c>
      <c r="AD3" s="14"/>
      <c r="AE3" s="14"/>
      <c r="AF3" s="14"/>
      <c r="AG3" s="3" t="s">
        <v>33</v>
      </c>
    </row>
    <row r="4" spans="2:43" x14ac:dyDescent="0.3">
      <c r="B4" s="15"/>
      <c r="C4" s="16"/>
      <c r="D4" s="17"/>
      <c r="E4" s="14" t="s">
        <v>14</v>
      </c>
      <c r="F4" s="14"/>
      <c r="G4" s="14"/>
      <c r="H4" s="14" t="s">
        <v>13</v>
      </c>
      <c r="I4" s="14"/>
      <c r="J4" s="14"/>
      <c r="M4" s="3" t="s">
        <v>0</v>
      </c>
      <c r="N4" s="4" t="s">
        <v>1</v>
      </c>
      <c r="O4" s="4" t="s">
        <v>29</v>
      </c>
      <c r="P4" s="4" t="s">
        <v>16</v>
      </c>
      <c r="Q4" s="4" t="s">
        <v>30</v>
      </c>
      <c r="R4" s="4" t="s">
        <v>17</v>
      </c>
      <c r="S4" s="4" t="s">
        <v>31</v>
      </c>
      <c r="T4" s="4" t="s">
        <v>18</v>
      </c>
      <c r="W4" s="3" t="s">
        <v>0</v>
      </c>
      <c r="X4" s="4" t="s">
        <v>1</v>
      </c>
      <c r="Y4" s="4" t="s">
        <v>20</v>
      </c>
      <c r="Z4" s="4" t="s">
        <v>21</v>
      </c>
      <c r="AA4" s="4" t="s">
        <v>22</v>
      </c>
      <c r="AB4" s="4" t="s">
        <v>23</v>
      </c>
      <c r="AC4" s="4" t="s">
        <v>20</v>
      </c>
      <c r="AD4" s="4" t="s">
        <v>21</v>
      </c>
      <c r="AE4" s="4" t="s">
        <v>22</v>
      </c>
      <c r="AF4" s="4" t="s">
        <v>23</v>
      </c>
      <c r="AG4" s="4" t="s">
        <v>32</v>
      </c>
      <c r="AJ4" s="3" t="s">
        <v>0</v>
      </c>
      <c r="AK4" s="4" t="s">
        <v>1</v>
      </c>
      <c r="AL4" s="4" t="s">
        <v>29</v>
      </c>
      <c r="AM4" s="4" t="s">
        <v>16</v>
      </c>
      <c r="AN4" s="4" t="s">
        <v>30</v>
      </c>
      <c r="AO4" s="4" t="s">
        <v>17</v>
      </c>
      <c r="AP4" s="4" t="s">
        <v>31</v>
      </c>
      <c r="AQ4" s="4" t="s">
        <v>18</v>
      </c>
    </row>
    <row r="5" spans="2:43" x14ac:dyDescent="0.3">
      <c r="B5" s="3" t="s">
        <v>0</v>
      </c>
      <c r="C5" s="4" t="s">
        <v>1</v>
      </c>
      <c r="D5" s="3" t="s">
        <v>7</v>
      </c>
      <c r="E5" s="3" t="s">
        <v>8</v>
      </c>
      <c r="F5" s="3" t="s">
        <v>9</v>
      </c>
      <c r="G5" s="4" t="s">
        <v>6</v>
      </c>
      <c r="H5" s="4" t="s">
        <v>10</v>
      </c>
      <c r="I5" s="4" t="s">
        <v>11</v>
      </c>
      <c r="J5" s="4" t="s">
        <v>12</v>
      </c>
      <c r="M5" s="5" t="s">
        <v>2</v>
      </c>
      <c r="N5" s="5">
        <v>1</v>
      </c>
      <c r="O5" s="8">
        <f>$N$3*P5</f>
        <v>30</v>
      </c>
      <c r="P5" s="6">
        <v>0.3</v>
      </c>
      <c r="Q5" s="8">
        <f>0.95*O5</f>
        <v>28.5</v>
      </c>
      <c r="R5" s="6">
        <f>Q5/$Q$9</f>
        <v>0.95959595959595967</v>
      </c>
      <c r="S5" s="8">
        <f>O5-Q5</f>
        <v>1.5</v>
      </c>
      <c r="T5" s="6">
        <f>S5/$S$9</f>
        <v>2.1337126600284497E-2</v>
      </c>
      <c r="W5" s="5" t="s">
        <v>2</v>
      </c>
      <c r="X5" s="5">
        <v>1</v>
      </c>
      <c r="Y5" s="6">
        <f>R5</f>
        <v>0.95959595959595967</v>
      </c>
      <c r="Z5" s="6">
        <v>0.93149151600000002</v>
      </c>
      <c r="AA5" s="6">
        <v>1.03016971</v>
      </c>
      <c r="AB5" s="6">
        <f>AA5/$AA$6</f>
        <v>1.7464095538972297</v>
      </c>
      <c r="AC5" s="6">
        <v>6.4663890000000002E-2</v>
      </c>
      <c r="AD5" s="6">
        <f>T5</f>
        <v>2.1337126600284497E-2</v>
      </c>
      <c r="AE5" s="6">
        <v>3.0305787300000002</v>
      </c>
      <c r="AF5" s="6">
        <v>1.5651991599999999</v>
      </c>
      <c r="AG5" s="6">
        <f>SQRT(AB5*AF5)</f>
        <v>1.6533235517514164</v>
      </c>
      <c r="AJ5" s="5" t="s">
        <v>2</v>
      </c>
      <c r="AK5" s="5">
        <v>1</v>
      </c>
      <c r="AL5" s="8">
        <f>$N$3*AM5</f>
        <v>30</v>
      </c>
      <c r="AM5" s="6">
        <v>0.3</v>
      </c>
      <c r="AN5" s="8">
        <f>0.95*AL5</f>
        <v>28.5</v>
      </c>
      <c r="AO5" s="6">
        <f>AN5/$Q$9</f>
        <v>0.95959595959595967</v>
      </c>
      <c r="AP5" s="8">
        <f>AL5-AN5</f>
        <v>1.5</v>
      </c>
      <c r="AQ5" s="6">
        <f>AP5/$S$9</f>
        <v>2.1337126600284497E-2</v>
      </c>
    </row>
    <row r="6" spans="2:43" x14ac:dyDescent="0.3">
      <c r="B6" s="5" t="s">
        <v>2</v>
      </c>
      <c r="C6" s="5">
        <v>1</v>
      </c>
      <c r="D6" s="5">
        <v>337.9</v>
      </c>
      <c r="E6" s="5">
        <v>512.6</v>
      </c>
      <c r="F6" s="5">
        <v>80.97</v>
      </c>
      <c r="G6" s="5">
        <v>0.56399999999999995</v>
      </c>
      <c r="H6" s="5">
        <v>16.578499999999998</v>
      </c>
      <c r="I6" s="5">
        <v>3638.27</v>
      </c>
      <c r="J6" s="6">
        <v>239.5</v>
      </c>
      <c r="M6" s="5" t="s">
        <v>3</v>
      </c>
      <c r="N6" s="5">
        <v>2</v>
      </c>
      <c r="O6" s="8">
        <f t="shared" ref="O6:O8" si="0">$N$3*P6</f>
        <v>20</v>
      </c>
      <c r="P6" s="6">
        <v>0.2</v>
      </c>
      <c r="Q6" s="8">
        <f>0.06*O6</f>
        <v>1.2</v>
      </c>
      <c r="R6" s="6">
        <f t="shared" ref="R6:R8" si="1">Q6/$Q$9</f>
        <v>4.0404040404040401E-2</v>
      </c>
      <c r="S6" s="8">
        <f t="shared" ref="S6:S8" si="2">O6-Q6</f>
        <v>18.8</v>
      </c>
      <c r="T6" s="6">
        <f t="shared" ref="T6:T8" si="3">S6/$S$9</f>
        <v>0.26742532005689901</v>
      </c>
      <c r="W6" s="5" t="s">
        <v>3</v>
      </c>
      <c r="X6" s="5">
        <v>2</v>
      </c>
      <c r="Y6" s="6">
        <f t="shared" ref="Y6:Y8" si="4">R6</f>
        <v>4.0404040404040401E-2</v>
      </c>
      <c r="Z6" s="6">
        <v>6.8495397200000002E-2</v>
      </c>
      <c r="AA6" s="6">
        <v>0.58987864999999995</v>
      </c>
      <c r="AB6" s="6">
        <f t="shared" ref="AB6:AB8" si="5">AA6/$AA$6</f>
        <v>1</v>
      </c>
      <c r="AC6" s="6">
        <v>0.51779613000000002</v>
      </c>
      <c r="AD6" s="6">
        <f t="shared" ref="AD6:AD8" si="6">T6</f>
        <v>0.26742532005689901</v>
      </c>
      <c r="AE6" s="6">
        <v>1.93622563</v>
      </c>
      <c r="AF6" s="6">
        <v>1</v>
      </c>
      <c r="AG6" s="6">
        <f t="shared" ref="AG6:AG8" si="7">SQRT(AB6*AF6)</f>
        <v>1</v>
      </c>
      <c r="AJ6" s="5" t="s">
        <v>3</v>
      </c>
      <c r="AK6" s="5">
        <v>2</v>
      </c>
      <c r="AL6" s="8">
        <f t="shared" ref="AL6:AL8" si="8">$N$3*AM6</f>
        <v>20</v>
      </c>
      <c r="AM6" s="6">
        <v>0.2</v>
      </c>
      <c r="AN6" s="8">
        <f>0.06*AL6</f>
        <v>1.2</v>
      </c>
      <c r="AO6" s="6">
        <f t="shared" ref="AO6:AO8" si="9">AN6/$Q$9</f>
        <v>4.0404040404040401E-2</v>
      </c>
      <c r="AP6" s="8">
        <f>AL6-AN6</f>
        <v>18.8</v>
      </c>
      <c r="AQ6" s="6">
        <f t="shared" ref="AQ6:AQ8" si="10">AP6/$S$9</f>
        <v>0.26742532005689901</v>
      </c>
    </row>
    <row r="7" spans="2:43" x14ac:dyDescent="0.3">
      <c r="B7" s="5" t="s">
        <v>3</v>
      </c>
      <c r="C7" s="5">
        <v>2</v>
      </c>
      <c r="D7" s="5">
        <v>351.4</v>
      </c>
      <c r="E7" s="5">
        <v>513.9</v>
      </c>
      <c r="F7" s="5">
        <v>61.48</v>
      </c>
      <c r="G7" s="5">
        <v>0.64500000000000002</v>
      </c>
      <c r="H7" s="5">
        <v>16.895800000000001</v>
      </c>
      <c r="I7" s="5">
        <v>3795.17</v>
      </c>
      <c r="J7" s="5">
        <v>230.91800000000001</v>
      </c>
      <c r="M7" s="5" t="s">
        <v>4</v>
      </c>
      <c r="N7" s="5">
        <v>3</v>
      </c>
      <c r="O7" s="8">
        <f t="shared" si="0"/>
        <v>15</v>
      </c>
      <c r="P7" s="6">
        <v>0.15</v>
      </c>
      <c r="Q7" s="8">
        <v>0</v>
      </c>
      <c r="R7" s="6">
        <f t="shared" si="1"/>
        <v>0</v>
      </c>
      <c r="S7" s="8">
        <f t="shared" si="2"/>
        <v>15</v>
      </c>
      <c r="T7" s="6">
        <f t="shared" si="3"/>
        <v>0.21337126600284495</v>
      </c>
      <c r="W7" s="5" t="s">
        <v>4</v>
      </c>
      <c r="X7" s="5">
        <v>3</v>
      </c>
      <c r="Y7" s="6">
        <f t="shared" si="4"/>
        <v>0</v>
      </c>
      <c r="Z7" s="6">
        <v>0</v>
      </c>
      <c r="AA7" s="6">
        <v>0.26046101999999999</v>
      </c>
      <c r="AB7" s="6">
        <f t="shared" si="5"/>
        <v>0.44155017307373307</v>
      </c>
      <c r="AC7" s="6">
        <v>0.20214821999999999</v>
      </c>
      <c r="AD7" s="6">
        <f t="shared" si="6"/>
        <v>0.21337126600284495</v>
      </c>
      <c r="AE7" s="6">
        <v>0.94740161000000001</v>
      </c>
      <c r="AF7" s="6">
        <v>0.48930330999999999</v>
      </c>
      <c r="AG7" s="6">
        <f t="shared" si="7"/>
        <v>0.46481389955126179</v>
      </c>
      <c r="AJ7" s="5" t="s">
        <v>4</v>
      </c>
      <c r="AK7" s="5">
        <v>3</v>
      </c>
      <c r="AL7" s="8">
        <f t="shared" si="8"/>
        <v>15</v>
      </c>
      <c r="AM7" s="6">
        <v>0.15</v>
      </c>
      <c r="AN7" s="12">
        <f>1.63*10^-4</f>
        <v>1.63E-4</v>
      </c>
      <c r="AO7" s="12">
        <f t="shared" si="9"/>
        <v>5.4882154882154882E-6</v>
      </c>
      <c r="AP7" s="8">
        <f>AL7-AN7</f>
        <v>14.999836999999999</v>
      </c>
      <c r="AQ7" s="6">
        <f t="shared" si="10"/>
        <v>0.21336894736842105</v>
      </c>
    </row>
    <row r="8" spans="2:43" x14ac:dyDescent="0.3">
      <c r="B8" s="5" t="s">
        <v>4</v>
      </c>
      <c r="C8" s="5">
        <v>3</v>
      </c>
      <c r="D8" s="5">
        <v>370.4</v>
      </c>
      <c r="E8" s="5">
        <v>536.79999999999995</v>
      </c>
      <c r="F8" s="5">
        <v>51.75</v>
      </c>
      <c r="G8" s="5">
        <v>0.622</v>
      </c>
      <c r="H8" s="5">
        <v>16.115400000000001</v>
      </c>
      <c r="I8" s="5">
        <v>3483.67</v>
      </c>
      <c r="J8" s="5">
        <v>205.80699999999999</v>
      </c>
      <c r="M8" s="5" t="s">
        <v>5</v>
      </c>
      <c r="N8" s="5">
        <v>4</v>
      </c>
      <c r="O8" s="8">
        <f t="shared" si="0"/>
        <v>35</v>
      </c>
      <c r="P8" s="6">
        <v>0.35</v>
      </c>
      <c r="Q8" s="8">
        <v>0</v>
      </c>
      <c r="R8" s="6">
        <f t="shared" si="1"/>
        <v>0</v>
      </c>
      <c r="S8" s="8">
        <f t="shared" si="2"/>
        <v>35</v>
      </c>
      <c r="T8" s="6">
        <f t="shared" si="3"/>
        <v>0.49786628733997157</v>
      </c>
      <c r="W8" s="5" t="s">
        <v>5</v>
      </c>
      <c r="X8" s="5">
        <v>4</v>
      </c>
      <c r="Y8" s="6">
        <f t="shared" si="4"/>
        <v>0</v>
      </c>
      <c r="Z8" s="6">
        <v>0</v>
      </c>
      <c r="AA8" s="6">
        <v>0.10570952</v>
      </c>
      <c r="AB8" s="6">
        <f t="shared" si="5"/>
        <v>0.17920553659638302</v>
      </c>
      <c r="AC8" s="6">
        <v>0.21539175999999999</v>
      </c>
      <c r="AD8" s="6">
        <f t="shared" si="6"/>
        <v>0.49786628733997157</v>
      </c>
      <c r="AE8" s="6">
        <v>0.43262987000000003</v>
      </c>
      <c r="AF8" s="6">
        <v>0.22343979999999999</v>
      </c>
      <c r="AG8" s="6">
        <f t="shared" si="7"/>
        <v>0.20010409605000218</v>
      </c>
      <c r="AJ8" s="5" t="s">
        <v>5</v>
      </c>
      <c r="AK8" s="5">
        <v>4</v>
      </c>
      <c r="AL8" s="8">
        <f t="shared" si="8"/>
        <v>35</v>
      </c>
      <c r="AM8" s="6">
        <v>0.35</v>
      </c>
      <c r="AN8" s="12">
        <f>2.71*10^-8</f>
        <v>2.7100000000000001E-8</v>
      </c>
      <c r="AO8" s="12">
        <f t="shared" si="9"/>
        <v>9.1245791245791256E-10</v>
      </c>
      <c r="AP8" s="8">
        <f>AL8-AN8</f>
        <v>34.9999999729</v>
      </c>
      <c r="AQ8" s="6">
        <f t="shared" si="10"/>
        <v>0.49786628695448082</v>
      </c>
    </row>
    <row r="9" spans="2:43" x14ac:dyDescent="0.3">
      <c r="B9" s="5" t="s">
        <v>5</v>
      </c>
      <c r="C9" s="5">
        <v>4</v>
      </c>
      <c r="D9" s="5">
        <v>390.8</v>
      </c>
      <c r="E9" s="5">
        <v>563.1</v>
      </c>
      <c r="F9" s="5">
        <v>44.23</v>
      </c>
      <c r="G9" s="5">
        <v>0.59399999999999997</v>
      </c>
      <c r="H9" s="5">
        <v>15.314399999999999</v>
      </c>
      <c r="I9" s="5">
        <v>3112.43</v>
      </c>
      <c r="J9" s="5">
        <v>182.739</v>
      </c>
      <c r="M9" s="13" t="s">
        <v>15</v>
      </c>
      <c r="N9" s="13"/>
      <c r="O9" s="8">
        <f>SUM(O5:O8)</f>
        <v>100</v>
      </c>
      <c r="P9" s="6">
        <f>SUM(P5:P8)</f>
        <v>1</v>
      </c>
      <c r="Q9" s="8">
        <f t="shared" ref="Q9:T9" si="11">SUM(Q5:Q8)</f>
        <v>29.7</v>
      </c>
      <c r="R9" s="6">
        <f t="shared" si="11"/>
        <v>1</v>
      </c>
      <c r="S9" s="8">
        <f t="shared" si="11"/>
        <v>70.3</v>
      </c>
      <c r="T9" s="6">
        <f t="shared" si="11"/>
        <v>1</v>
      </c>
      <c r="W9" s="13" t="s">
        <v>15</v>
      </c>
      <c r="X9" s="13"/>
      <c r="Y9" s="6">
        <f>SUM(Y5:Y8)</f>
        <v>1</v>
      </c>
      <c r="Z9" s="6">
        <f>SUM(Z5:Z8)</f>
        <v>0.99998691319999999</v>
      </c>
      <c r="AA9" s="10" t="s">
        <v>27</v>
      </c>
      <c r="AB9" s="10">
        <v>338.60700000000003</v>
      </c>
      <c r="AC9" s="6">
        <f t="shared" ref="AC9" si="12">SUM(AC5:AC8)</f>
        <v>1</v>
      </c>
      <c r="AD9" s="6">
        <f t="shared" ref="AD9" si="13">SUM(AD5:AD8)</f>
        <v>1</v>
      </c>
      <c r="AE9" s="11" t="s">
        <v>28</v>
      </c>
      <c r="AF9" s="10">
        <v>368.93099999999998</v>
      </c>
      <c r="AG9" s="5" t="s">
        <v>26</v>
      </c>
      <c r="AJ9" s="13" t="s">
        <v>15</v>
      </c>
      <c r="AK9" s="13"/>
      <c r="AL9" s="8">
        <f>SUM(AL5:AL8)</f>
        <v>100</v>
      </c>
      <c r="AM9" s="6">
        <f>SUM(AM5:AM8)</f>
        <v>1</v>
      </c>
      <c r="AN9" s="8">
        <f t="shared" ref="AN9" si="14">SUM(AN5:AN8)</f>
        <v>29.7001630271</v>
      </c>
      <c r="AO9" s="6">
        <f t="shared" ref="AO9" si="15">SUM(AO5:AO8)</f>
        <v>1.0000054891279462</v>
      </c>
      <c r="AP9" s="8">
        <f t="shared" ref="AP9" si="16">SUM(AP5:AP8)</f>
        <v>70.299836972899996</v>
      </c>
      <c r="AQ9" s="6">
        <f t="shared" ref="AQ9" si="17">SUM(AQ5:AQ8)</f>
        <v>0.99999768098008524</v>
      </c>
    </row>
    <row r="11" spans="2:43" x14ac:dyDescent="0.3">
      <c r="D11" s="1">
        <f>SUMPRODUCT(D6:D9,T5:T8)</f>
        <v>374.78193456614508</v>
      </c>
    </row>
    <row r="13" spans="2:43" x14ac:dyDescent="0.3">
      <c r="W13" s="14"/>
      <c r="X13" s="14"/>
      <c r="Y13" s="14" t="s">
        <v>24</v>
      </c>
      <c r="Z13" s="14"/>
      <c r="AA13" s="14"/>
      <c r="AB13" s="14"/>
      <c r="AC13" s="14" t="s">
        <v>25</v>
      </c>
      <c r="AD13" s="14"/>
      <c r="AE13" s="14"/>
      <c r="AF13" s="14"/>
      <c r="AG13" s="3" t="s">
        <v>33</v>
      </c>
      <c r="AJ13" s="3" t="s">
        <v>0</v>
      </c>
      <c r="AK13" s="4" t="s">
        <v>1</v>
      </c>
      <c r="AL13" s="4" t="s">
        <v>29</v>
      </c>
      <c r="AM13" s="4" t="s">
        <v>16</v>
      </c>
      <c r="AN13" s="4" t="s">
        <v>30</v>
      </c>
      <c r="AO13" s="4" t="s">
        <v>17</v>
      </c>
      <c r="AP13" s="4" t="s">
        <v>31</v>
      </c>
      <c r="AQ13" s="4" t="s">
        <v>18</v>
      </c>
    </row>
    <row r="14" spans="2:43" x14ac:dyDescent="0.3">
      <c r="W14" s="3" t="s">
        <v>0</v>
      </c>
      <c r="X14" s="4" t="s">
        <v>1</v>
      </c>
      <c r="Y14" s="4" t="s">
        <v>20</v>
      </c>
      <c r="Z14" s="4" t="s">
        <v>21</v>
      </c>
      <c r="AA14" s="4" t="s">
        <v>22</v>
      </c>
      <c r="AB14" s="4" t="s">
        <v>23</v>
      </c>
      <c r="AC14" s="4" t="s">
        <v>20</v>
      </c>
      <c r="AD14" s="4" t="s">
        <v>21</v>
      </c>
      <c r="AE14" s="4" t="s">
        <v>22</v>
      </c>
      <c r="AF14" s="4" t="s">
        <v>23</v>
      </c>
      <c r="AG14" s="4" t="s">
        <v>32</v>
      </c>
      <c r="AJ14" s="5" t="s">
        <v>2</v>
      </c>
      <c r="AK14" s="5">
        <v>1</v>
      </c>
      <c r="AL14" s="8">
        <f>$N$3*AM14</f>
        <v>30</v>
      </c>
      <c r="AM14" s="6">
        <v>0.3</v>
      </c>
      <c r="AN14" s="8">
        <f>0.95*AL14</f>
        <v>28.5</v>
      </c>
      <c r="AO14" s="6">
        <f>AN14/$Q$9</f>
        <v>0.95959595959595967</v>
      </c>
      <c r="AP14" s="8">
        <f>AL14-AN14</f>
        <v>1.5</v>
      </c>
      <c r="AQ14" s="6">
        <f>AP14/$S$9</f>
        <v>2.1337126600284497E-2</v>
      </c>
    </row>
    <row r="15" spans="2:43" x14ac:dyDescent="0.3">
      <c r="B15" s="3"/>
      <c r="C15" s="4"/>
      <c r="D15" s="2"/>
      <c r="E15" s="2"/>
      <c r="F15" s="2"/>
      <c r="G15" s="2"/>
      <c r="H15" s="2"/>
      <c r="I15" s="2"/>
      <c r="W15" s="5" t="s">
        <v>2</v>
      </c>
      <c r="X15" s="5">
        <v>1</v>
      </c>
      <c r="Y15" s="6">
        <v>0.93149151600000002</v>
      </c>
      <c r="Z15" s="6">
        <f>0.936712016</f>
        <v>0.93671201599999998</v>
      </c>
      <c r="AA15" s="6">
        <v>1.0244244600000001</v>
      </c>
      <c r="AB15" s="6">
        <v>1.60423494</v>
      </c>
      <c r="AC15" s="6">
        <v>6.9084839999999995E-2</v>
      </c>
      <c r="AD15" s="6">
        <v>2.1337126600284497E-2</v>
      </c>
      <c r="AE15" s="6">
        <v>3.23776872</v>
      </c>
      <c r="AF15" s="6">
        <v>1.7133139500000001</v>
      </c>
      <c r="AG15" s="6">
        <f>SQRT(AB15*AF15)</f>
        <v>1.6578775895039455</v>
      </c>
      <c r="AJ15" s="5" t="s">
        <v>3</v>
      </c>
      <c r="AK15" s="5">
        <v>2</v>
      </c>
      <c r="AL15" s="8">
        <f t="shared" ref="AL15:AL17" si="18">$N$3*AM15</f>
        <v>20</v>
      </c>
      <c r="AM15" s="6">
        <v>0.2</v>
      </c>
      <c r="AN15" s="8">
        <f>0.06*AL15</f>
        <v>1.2</v>
      </c>
      <c r="AO15" s="6">
        <f t="shared" ref="AO15:AO17" si="19">AN15/$Q$9</f>
        <v>4.0404040404040401E-2</v>
      </c>
      <c r="AP15" s="8">
        <f>AL15-AN15</f>
        <v>18.8</v>
      </c>
      <c r="AQ15" s="6">
        <f t="shared" ref="AQ15:AQ17" si="20">AP15/$S$9</f>
        <v>0.26742532005689901</v>
      </c>
    </row>
    <row r="16" spans="2:43" x14ac:dyDescent="0.3">
      <c r="B16" s="5"/>
      <c r="C16" s="5"/>
      <c r="D16" s="7"/>
      <c r="E16" s="7"/>
      <c r="F16" s="7"/>
      <c r="G16" s="7"/>
      <c r="H16" s="7"/>
      <c r="I16" s="7"/>
      <c r="W16" s="5" t="s">
        <v>3</v>
      </c>
      <c r="X16" s="5">
        <v>2</v>
      </c>
      <c r="Y16" s="6">
        <v>6.8495397200000002E-2</v>
      </c>
      <c r="Z16" s="6">
        <v>6.3271837799999994E-2</v>
      </c>
      <c r="AA16" s="6">
        <v>0.63857507999999996</v>
      </c>
      <c r="AB16" s="6">
        <v>1</v>
      </c>
      <c r="AC16" s="6">
        <v>0.50537343000000001</v>
      </c>
      <c r="AD16" s="6">
        <v>0.26742532005689901</v>
      </c>
      <c r="AE16" s="6">
        <v>1.8897696500000001</v>
      </c>
      <c r="AF16" s="6">
        <v>1</v>
      </c>
      <c r="AG16" s="6">
        <f t="shared" ref="AG16:AG18" si="21">SQRT(AB16*AF16)</f>
        <v>1</v>
      </c>
      <c r="AJ16" s="5" t="s">
        <v>4</v>
      </c>
      <c r="AK16" s="5">
        <v>3</v>
      </c>
      <c r="AL16" s="8">
        <f t="shared" si="18"/>
        <v>15</v>
      </c>
      <c r="AM16" s="6">
        <v>0.15</v>
      </c>
      <c r="AN16" s="12">
        <v>5.3580426799999998E-4</v>
      </c>
      <c r="AO16" s="12">
        <f t="shared" si="19"/>
        <v>1.8040547744107744E-5</v>
      </c>
      <c r="AP16" s="8">
        <f>AL16-AN16</f>
        <v>14.999464195731999</v>
      </c>
      <c r="AQ16" s="6">
        <f t="shared" si="20"/>
        <v>0.21336364432051208</v>
      </c>
    </row>
    <row r="17" spans="2:43" x14ac:dyDescent="0.3">
      <c r="B17" s="5"/>
      <c r="C17" s="5"/>
      <c r="D17" s="7"/>
      <c r="E17" s="7"/>
      <c r="F17" s="7"/>
      <c r="G17" s="7"/>
      <c r="H17" s="7"/>
      <c r="I17" s="7"/>
      <c r="W17" s="5" t="s">
        <v>4</v>
      </c>
      <c r="X17" s="5">
        <v>3</v>
      </c>
      <c r="Y17" s="12">
        <v>5.4882154882154882E-6</v>
      </c>
      <c r="Z17" s="12">
        <v>1.61418061E-5</v>
      </c>
      <c r="AA17" s="6">
        <v>0.33968422999999998</v>
      </c>
      <c r="AB17" s="6">
        <v>0.53194094999999997</v>
      </c>
      <c r="AC17" s="6">
        <v>0.20063549</v>
      </c>
      <c r="AD17" s="6">
        <v>0.21336894736842105</v>
      </c>
      <c r="AE17" s="6">
        <v>0.94031969000000004</v>
      </c>
      <c r="AF17" s="6">
        <v>0.49758428999999998</v>
      </c>
      <c r="AG17" s="6">
        <f t="shared" si="21"/>
        <v>0.5144759080148219</v>
      </c>
      <c r="AJ17" s="5" t="s">
        <v>5</v>
      </c>
      <c r="AK17" s="5">
        <v>4</v>
      </c>
      <c r="AL17" s="8">
        <f t="shared" si="18"/>
        <v>35</v>
      </c>
      <c r="AM17" s="6">
        <v>0.35</v>
      </c>
      <c r="AN17" s="12">
        <v>6.4859615200000004E-7</v>
      </c>
      <c r="AO17" s="12">
        <f t="shared" si="19"/>
        <v>2.1838254276094279E-8</v>
      </c>
      <c r="AP17" s="8">
        <f>AL17-AN17</f>
        <v>34.999999351403851</v>
      </c>
      <c r="AQ17" s="6">
        <f t="shared" si="20"/>
        <v>0.49786627811385281</v>
      </c>
    </row>
    <row r="18" spans="2:43" x14ac:dyDescent="0.3">
      <c r="B18" s="5"/>
      <c r="C18" s="5"/>
      <c r="D18" s="7"/>
      <c r="E18" s="7"/>
      <c r="F18" s="7"/>
      <c r="G18" s="7"/>
      <c r="H18" s="7"/>
      <c r="I18" s="7"/>
      <c r="W18" s="5" t="s">
        <v>5</v>
      </c>
      <c r="X18" s="5">
        <v>4</v>
      </c>
      <c r="Y18" s="12">
        <v>9.1245791245791256E-10</v>
      </c>
      <c r="Z18" s="12">
        <v>4.9438329699999997E-9</v>
      </c>
      <c r="AA18" s="6">
        <v>0.18464931000000001</v>
      </c>
      <c r="AB18" s="6">
        <v>0.28915834000000001</v>
      </c>
      <c r="AC18" s="6">
        <v>0.22490625</v>
      </c>
      <c r="AD18" s="6">
        <v>0.49786628695448082</v>
      </c>
      <c r="AE18" s="6">
        <v>0.45173921</v>
      </c>
      <c r="AF18" s="6">
        <v>0.23904459</v>
      </c>
      <c r="AG18" s="6">
        <f t="shared" si="21"/>
        <v>0.26291013071082026</v>
      </c>
      <c r="AJ18" s="13" t="s">
        <v>15</v>
      </c>
      <c r="AK18" s="13"/>
      <c r="AL18" s="8">
        <f>SUM(AL14:AL17)</f>
        <v>100</v>
      </c>
      <c r="AM18" s="6">
        <f>SUM(AM14:AM17)</f>
        <v>1</v>
      </c>
      <c r="AN18" s="8">
        <f t="shared" ref="AN18" si="22">SUM(AN14:AN17)</f>
        <v>29.700536452864153</v>
      </c>
      <c r="AO18" s="6">
        <f t="shared" ref="AO18" si="23">SUM(AO14:AO17)</f>
        <v>1.0000180623859984</v>
      </c>
      <c r="AP18" s="8">
        <f t="shared" ref="AP18" si="24">SUM(AP14:AP17)</f>
        <v>70.299463547135844</v>
      </c>
      <c r="AQ18" s="6">
        <f t="shared" ref="AQ18" si="25">SUM(AQ14:AQ17)</f>
        <v>0.99999236909154843</v>
      </c>
    </row>
    <row r="19" spans="2:43" x14ac:dyDescent="0.3">
      <c r="B19" s="5"/>
      <c r="C19" s="5"/>
      <c r="D19" s="7"/>
      <c r="E19" s="7"/>
      <c r="F19" s="7"/>
      <c r="G19" s="7"/>
      <c r="H19" s="7"/>
      <c r="I19" s="7"/>
      <c r="W19" s="13" t="s">
        <v>15</v>
      </c>
      <c r="X19" s="13"/>
      <c r="Y19" s="6">
        <f>SUM(Y15:Y18)</f>
        <v>0.99999240232794606</v>
      </c>
      <c r="Z19" s="6">
        <f>SUM(Z15:Z18)</f>
        <v>1.000000000549933</v>
      </c>
      <c r="AA19" s="10" t="s">
        <v>27</v>
      </c>
      <c r="AB19" s="10">
        <v>339.06</v>
      </c>
      <c r="AC19" s="6">
        <f t="shared" ref="AC19" si="26">SUM(AC15:AC18)</f>
        <v>1.0000000100000002</v>
      </c>
      <c r="AD19" s="6">
        <f t="shared" ref="AD19" si="27">SUM(AD15:AD18)</f>
        <v>0.99999768098008524</v>
      </c>
      <c r="AE19" s="11" t="s">
        <v>28</v>
      </c>
      <c r="AF19" s="10">
        <v>368.512</v>
      </c>
      <c r="AG19" s="5" t="s">
        <v>26</v>
      </c>
    </row>
    <row r="20" spans="2:43" x14ac:dyDescent="0.3">
      <c r="B20" s="18"/>
      <c r="C20" s="19"/>
      <c r="D20" s="7"/>
      <c r="E20" s="7"/>
      <c r="F20" s="7"/>
      <c r="G20" s="7"/>
      <c r="H20" s="7"/>
      <c r="I20" s="7"/>
    </row>
    <row r="21" spans="2:43" x14ac:dyDescent="0.3">
      <c r="AA21" s="9"/>
    </row>
  </sheetData>
  <mergeCells count="15">
    <mergeCell ref="W19:X19"/>
    <mergeCell ref="H4:J4"/>
    <mergeCell ref="E4:G4"/>
    <mergeCell ref="B4:D4"/>
    <mergeCell ref="B20:C20"/>
    <mergeCell ref="M9:N9"/>
    <mergeCell ref="AJ18:AK18"/>
    <mergeCell ref="AC3:AF3"/>
    <mergeCell ref="Y3:AB3"/>
    <mergeCell ref="W3:X3"/>
    <mergeCell ref="AJ9:AK9"/>
    <mergeCell ref="W13:X13"/>
    <mergeCell ref="Y13:AB13"/>
    <mergeCell ref="AC13:AF13"/>
    <mergeCell ref="W9:X9"/>
  </mergeCell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dcbb69-5ee9-4923-994d-03d6a9cf7e1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349067DA3DE94C88EE5D6D19C2C5ED" ma:contentTypeVersion="13" ma:contentTypeDescription="Create a new document." ma:contentTypeScope="" ma:versionID="6a0371ca40a98d881e89f261cc370a07">
  <xsd:schema xmlns:xsd="http://www.w3.org/2001/XMLSchema" xmlns:xs="http://www.w3.org/2001/XMLSchema" xmlns:p="http://schemas.microsoft.com/office/2006/metadata/properties" xmlns:ns3="fddcbb69-5ee9-4923-994d-03d6a9cf7e19" xmlns:ns4="39acffd2-7e01-411f-8cfb-a3393048a943" targetNamespace="http://schemas.microsoft.com/office/2006/metadata/properties" ma:root="true" ma:fieldsID="232f4cdf123a08d5ce9bf699da7eeb6f" ns3:_="" ns4:_="">
    <xsd:import namespace="fddcbb69-5ee9-4923-994d-03d6a9cf7e19"/>
    <xsd:import namespace="39acffd2-7e01-411f-8cfb-a3393048a9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dcbb69-5ee9-4923-994d-03d6a9cf7e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acffd2-7e01-411f-8cfb-a3393048a94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64C02A-DFB6-4FB6-8475-18710ED46FA1}">
  <ds:schemaRefs>
    <ds:schemaRef ds:uri="http://purl.org/dc/terms/"/>
    <ds:schemaRef ds:uri="http://schemas.microsoft.com/office/2006/documentManagement/types"/>
    <ds:schemaRef ds:uri="fddcbb69-5ee9-4923-994d-03d6a9cf7e19"/>
    <ds:schemaRef ds:uri="39acffd2-7e01-411f-8cfb-a3393048a943"/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510002BC-C499-4B63-A953-EE65EADEA7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8B1683-BA86-4091-8424-259A7E8E19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dcbb69-5ee9-4923-994d-03d6a9cf7e19"/>
    <ds:schemaRef ds:uri="39acffd2-7e01-411f-8cfb-a3393048a9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Heng1, Patrick V</dc:creator>
  <cp:lastModifiedBy>Heng1, Patrick V</cp:lastModifiedBy>
  <dcterms:created xsi:type="dcterms:W3CDTF">2025-03-22T16:47:00Z</dcterms:created>
  <dcterms:modified xsi:type="dcterms:W3CDTF">2025-04-25T21:05:19Z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0x01010087349067DA3DE94C88EE5D6D19C2C5ED</vt:lpwstr>
  </property>
</Properties>
</file>