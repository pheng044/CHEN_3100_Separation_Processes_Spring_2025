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pheng\Downloads\"/>
    </mc:Choice>
  </mc:AlternateContent>
  <xr:revisionPtr revIDLastSave="0" documentId="8_{35DB4EC9-6FCF-49C0-89B2-352653E7F862}" xr6:coauthVersionLast="47" xr6:coauthVersionMax="47" xr10:uidLastSave="{00000000-0000-0000-0000-000000000000}"/>
  <bookViews>
    <workbookView xWindow="-108" yWindow="-108" windowWidth="23256" windowHeight="13896" xr2:uid="{90AB39BE-1458-4CC2-AC6D-C3D859A685D6}"/>
  </bookViews>
  <sheets>
    <sheet name="P1" sheetId="1" r:id="rId1"/>
    <sheet name="P2" sheetId="3" r:id="rId2"/>
    <sheet name="Sheet4" sheetId="4" r:id="rId3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8" i="3" l="1"/>
  <c r="Q64" i="3"/>
  <c r="O64" i="3"/>
  <c r="M64" i="3"/>
  <c r="K64" i="3"/>
  <c r="I64" i="3"/>
  <c r="G64" i="3"/>
  <c r="P64" i="3"/>
  <c r="H65" i="3"/>
  <c r="J65" i="3"/>
  <c r="L65" i="3"/>
  <c r="N65" i="3"/>
  <c r="P65" i="3"/>
  <c r="F65" i="3"/>
  <c r="D64" i="3"/>
  <c r="N64" i="3"/>
  <c r="J64" i="3"/>
  <c r="H64" i="3"/>
  <c r="L64" i="3"/>
  <c r="F64" i="3"/>
  <c r="C49" i="3"/>
  <c r="BQ14" i="3"/>
  <c r="BO14" i="3"/>
  <c r="BJ13" i="3"/>
  <c r="BJ14" i="3" s="1"/>
  <c r="BI14" i="3"/>
  <c r="BG14" i="3"/>
  <c r="BB13" i="3"/>
  <c r="BB14" i="3" s="1"/>
  <c r="BA14" i="3"/>
  <c r="AY14" i="3"/>
  <c r="AS14" i="3"/>
  <c r="AQ14" i="3"/>
  <c r="AK14" i="3"/>
  <c r="AI14" i="3"/>
  <c r="AD13" i="3"/>
  <c r="AD14" i="3" s="1"/>
  <c r="D4" i="3"/>
  <c r="V13" i="3" s="1"/>
  <c r="V14" i="3" s="1"/>
  <c r="AC14" i="3"/>
  <c r="AA14" i="3"/>
  <c r="U14" i="3"/>
  <c r="S14" i="3"/>
  <c r="N13" i="3"/>
  <c r="N14" i="3" s="1"/>
  <c r="F13" i="3"/>
  <c r="F14" i="3" s="1"/>
  <c r="H14" i="3" s="1"/>
  <c r="D43" i="3"/>
  <c r="D44" i="3" s="1"/>
  <c r="D42" i="3"/>
  <c r="D41" i="3"/>
  <c r="U40" i="3"/>
  <c r="V40" i="3" s="1"/>
  <c r="W40" i="3" s="1"/>
  <c r="X40" i="3" s="1"/>
  <c r="Y40" i="3" s="1"/>
  <c r="Z40" i="3" s="1"/>
  <c r="M40" i="3"/>
  <c r="N40" i="3" s="1"/>
  <c r="O40" i="3" s="1"/>
  <c r="P40" i="3" s="1"/>
  <c r="Q40" i="3" s="1"/>
  <c r="R40" i="3" s="1"/>
  <c r="J38" i="3"/>
  <c r="I38" i="3"/>
  <c r="H38" i="3"/>
  <c r="G38" i="3"/>
  <c r="F38" i="3"/>
  <c r="E38" i="3"/>
  <c r="D35" i="3" a="1"/>
  <c r="D35" i="3" s="1"/>
  <c r="D38" i="3" s="1"/>
  <c r="H31" i="3"/>
  <c r="G31" i="3"/>
  <c r="F31" i="3"/>
  <c r="E31" i="3"/>
  <c r="D31" i="3"/>
  <c r="I29" i="3"/>
  <c r="I31" i="3" s="1"/>
  <c r="J28" i="3" a="1"/>
  <c r="J28" i="3" s="1"/>
  <c r="J31" i="3" s="1"/>
  <c r="M14" i="3"/>
  <c r="K14" i="3"/>
  <c r="D14" i="3"/>
  <c r="E11" i="3"/>
  <c r="E12" i="3" s="1"/>
  <c r="D12" i="3" s="1"/>
  <c r="H12" i="3" s="1"/>
  <c r="D11" i="3"/>
  <c r="H11" i="3" s="1"/>
  <c r="N30" i="1"/>
  <c r="M30" i="1"/>
  <c r="D45" i="1"/>
  <c r="F47" i="1"/>
  <c r="G47" i="1"/>
  <c r="H47" i="1"/>
  <c r="I47" i="1"/>
  <c r="E47" i="1"/>
  <c r="E46" i="1"/>
  <c r="F46" i="1"/>
  <c r="G46" i="1"/>
  <c r="H46" i="1"/>
  <c r="I46" i="1"/>
  <c r="J46" i="1"/>
  <c r="D46" i="1"/>
  <c r="F45" i="1"/>
  <c r="G45" i="1"/>
  <c r="H45" i="1"/>
  <c r="I45" i="1"/>
  <c r="J45" i="1"/>
  <c r="E45" i="1"/>
  <c r="F42" i="1"/>
  <c r="E44" i="1"/>
  <c r="F44" i="1"/>
  <c r="G44" i="1"/>
  <c r="H44" i="1"/>
  <c r="I44" i="1"/>
  <c r="J44" i="1"/>
  <c r="D44" i="1"/>
  <c r="D43" i="1"/>
  <c r="D42" i="1"/>
  <c r="F41" i="1"/>
  <c r="G41" i="1"/>
  <c r="H41" i="1"/>
  <c r="I41" i="1"/>
  <c r="J41" i="1"/>
  <c r="E41" i="1"/>
  <c r="F43" i="1"/>
  <c r="G43" i="1"/>
  <c r="H43" i="1"/>
  <c r="I43" i="1"/>
  <c r="J43" i="1"/>
  <c r="E43" i="1"/>
  <c r="V40" i="1"/>
  <c r="W40" i="1"/>
  <c r="X40" i="1" s="1"/>
  <c r="Y40" i="1" s="1"/>
  <c r="Z40" i="1" s="1"/>
  <c r="U40" i="1"/>
  <c r="G42" i="1"/>
  <c r="N40" i="1"/>
  <c r="O40" i="1"/>
  <c r="P40" i="1" s="1"/>
  <c r="Q40" i="1" s="1"/>
  <c r="R40" i="1" s="1"/>
  <c r="M40" i="1"/>
  <c r="H42" i="1"/>
  <c r="I42" i="1"/>
  <c r="J42" i="1"/>
  <c r="E42" i="1"/>
  <c r="D41" i="1"/>
  <c r="A41" i="1"/>
  <c r="P5" i="1"/>
  <c r="P7" i="1"/>
  <c r="D35" i="1" a="1"/>
  <c r="D35" i="1" s="1"/>
  <c r="D38" i="1" s="1"/>
  <c r="H38" i="1"/>
  <c r="G38" i="1"/>
  <c r="F38" i="1"/>
  <c r="E38" i="1"/>
  <c r="I38" i="1"/>
  <c r="J38" i="1"/>
  <c r="D31" i="1"/>
  <c r="E31" i="1"/>
  <c r="F31" i="1"/>
  <c r="G31" i="1"/>
  <c r="H31" i="1"/>
  <c r="I31" i="1"/>
  <c r="J31" i="1"/>
  <c r="I29" i="1"/>
  <c r="J28" i="1" a="1"/>
  <c r="J28" i="1" s="1"/>
  <c r="F14" i="1"/>
  <c r="H14" i="1" s="1"/>
  <c r="Q14" i="1"/>
  <c r="P14" i="1"/>
  <c r="U14" i="1" s="1" a="1"/>
  <c r="U14" i="1" s="1"/>
  <c r="Q17" i="1"/>
  <c r="P17" i="1"/>
  <c r="Q11" i="1"/>
  <c r="P11" i="1"/>
  <c r="K14" i="1"/>
  <c r="M14" i="1"/>
  <c r="F13" i="1"/>
  <c r="E12" i="1"/>
  <c r="E11" i="1"/>
  <c r="E14" i="1" s="1"/>
  <c r="D14" i="1"/>
  <c r="D11" i="1" s="1"/>
  <c r="H11" i="1" s="1"/>
  <c r="AL13" i="3" l="1"/>
  <c r="AL14" i="3" s="1"/>
  <c r="AT13" i="3"/>
  <c r="AT14" i="3" s="1"/>
  <c r="E14" i="3"/>
  <c r="D13" i="3"/>
  <c r="H13" i="3" s="1"/>
  <c r="S11" i="1"/>
  <c r="U11" i="1" s="1" a="1"/>
  <c r="U11" i="1" s="1"/>
  <c r="D13" i="1"/>
  <c r="H13" i="1" s="1"/>
  <c r="D12" i="1"/>
  <c r="H12" i="1" s="1"/>
  <c r="I12" i="1" s="1"/>
  <c r="I12" i="3" l="1"/>
  <c r="L6" i="3" s="1"/>
  <c r="M6" i="3"/>
  <c r="I13" i="3"/>
  <c r="L7" i="3" s="1"/>
  <c r="I11" i="3"/>
  <c r="L5" i="3" s="1"/>
  <c r="P6" i="1"/>
  <c r="Q6" i="1"/>
  <c r="I13" i="1"/>
  <c r="Q7" i="1" s="1"/>
  <c r="S17" i="1"/>
  <c r="U17" i="1" s="1" a="1"/>
  <c r="U17" i="1" s="1"/>
  <c r="W12" i="1" s="1"/>
  <c r="I11" i="1"/>
  <c r="L8" i="3" l="1"/>
  <c r="M7" i="3"/>
  <c r="M8" i="3" s="1"/>
  <c r="M5" i="3"/>
  <c r="I14" i="3"/>
  <c r="W13" i="1"/>
  <c r="X12" i="1" s="1"/>
  <c r="I14" i="1"/>
  <c r="Q5" i="1"/>
  <c r="Q8" i="1" s="1"/>
  <c r="L14" i="3" l="1"/>
  <c r="P14" i="3" s="1"/>
  <c r="K8" i="3"/>
  <c r="P8" i="1"/>
  <c r="L14" i="1" s="1"/>
  <c r="J14" i="3" l="1"/>
  <c r="J12" i="3" s="1"/>
  <c r="L13" i="3"/>
  <c r="P13" i="3" s="1"/>
  <c r="Q13" i="3" s="1"/>
  <c r="T7" i="3" s="1"/>
  <c r="L12" i="3"/>
  <c r="P12" i="3" s="1"/>
  <c r="Q12" i="3" s="1"/>
  <c r="T6" i="3" s="1"/>
  <c r="L11" i="3"/>
  <c r="L12" i="1"/>
  <c r="L13" i="1"/>
  <c r="J14" i="1"/>
  <c r="L11" i="1"/>
  <c r="T8" i="3" l="1"/>
  <c r="T14" i="3" s="1"/>
  <c r="X14" i="3" s="1"/>
  <c r="A41" i="3"/>
  <c r="J13" i="3"/>
  <c r="J11" i="3"/>
  <c r="J15" i="3" s="1"/>
  <c r="P11" i="3"/>
  <c r="Q11" i="3" s="1"/>
  <c r="T5" i="3" s="1"/>
  <c r="D49" i="3"/>
  <c r="L15" i="3"/>
  <c r="U7" i="3"/>
  <c r="U6" i="3"/>
  <c r="L15" i="1"/>
  <c r="J11" i="1"/>
  <c r="J12" i="1"/>
  <c r="J13" i="1"/>
  <c r="E41" i="3" l="1"/>
  <c r="H42" i="3"/>
  <c r="E43" i="3"/>
  <c r="G42" i="3"/>
  <c r="I42" i="3"/>
  <c r="F43" i="3"/>
  <c r="H43" i="3"/>
  <c r="F41" i="3"/>
  <c r="I41" i="3"/>
  <c r="J42" i="3"/>
  <c r="I43" i="3"/>
  <c r="H41" i="3"/>
  <c r="J45" i="3"/>
  <c r="G43" i="3"/>
  <c r="J43" i="3"/>
  <c r="G41" i="3"/>
  <c r="J41" i="3"/>
  <c r="E42" i="3"/>
  <c r="F42" i="3"/>
  <c r="Q14" i="3"/>
  <c r="U5" i="3"/>
  <c r="U8" i="3" s="1"/>
  <c r="R14" i="3"/>
  <c r="T13" i="3"/>
  <c r="X13" i="3" s="1"/>
  <c r="Y13" i="3" s="1"/>
  <c r="AC7" i="3" s="1"/>
  <c r="T11" i="3"/>
  <c r="X11" i="3" s="1"/>
  <c r="Y11" i="3" s="1"/>
  <c r="T12" i="3"/>
  <c r="X12" i="3" s="1"/>
  <c r="Y12" i="3" s="1"/>
  <c r="AC6" i="3" s="1"/>
  <c r="J15" i="1"/>
  <c r="I44" i="3" l="1"/>
  <c r="M30" i="3" s="1"/>
  <c r="N30" i="3" s="1"/>
  <c r="F44" i="3"/>
  <c r="E45" i="3" s="1"/>
  <c r="H44" i="3"/>
  <c r="G45" i="3" s="1"/>
  <c r="E44" i="3"/>
  <c r="D45" i="3" s="1"/>
  <c r="D46" i="3" s="1"/>
  <c r="G44" i="3"/>
  <c r="F45" i="3" s="1"/>
  <c r="J44" i="3"/>
  <c r="J46" i="3" s="1"/>
  <c r="AC5" i="3"/>
  <c r="AC8" i="3" s="1"/>
  <c r="Y14" i="3"/>
  <c r="AB5" i="3"/>
  <c r="AB6" i="3"/>
  <c r="AB7" i="3"/>
  <c r="R11" i="3"/>
  <c r="R12" i="3"/>
  <c r="R13" i="3"/>
  <c r="H45" i="3" l="1"/>
  <c r="H46" i="3" s="1"/>
  <c r="H47" i="3"/>
  <c r="G47" i="3"/>
  <c r="E47" i="3"/>
  <c r="I45" i="3"/>
  <c r="I46" i="3" s="1"/>
  <c r="AB8" i="3"/>
  <c r="AB14" i="3"/>
  <c r="AF14" i="3" s="1"/>
  <c r="R15" i="3"/>
  <c r="G46" i="3"/>
  <c r="F46" i="3"/>
  <c r="F47" i="3"/>
  <c r="E46" i="3"/>
  <c r="I47" i="3" l="1"/>
  <c r="AB11" i="3"/>
  <c r="AF11" i="3" s="1"/>
  <c r="AG11" i="3" s="1"/>
  <c r="AB12" i="3"/>
  <c r="AF12" i="3" s="1"/>
  <c r="AG12" i="3" s="1"/>
  <c r="AK6" i="3" s="1"/>
  <c r="AB13" i="3"/>
  <c r="AF13" i="3" s="1"/>
  <c r="AG13" i="3" s="1"/>
  <c r="AK7" i="3" s="1"/>
  <c r="Z14" i="3"/>
  <c r="AG14" i="3" l="1"/>
  <c r="AK5" i="3"/>
  <c r="AK8" i="3" s="1"/>
  <c r="AJ7" i="3"/>
  <c r="AJ6" i="3"/>
  <c r="AJ5" i="3"/>
  <c r="Z13" i="3"/>
  <c r="Z12" i="3"/>
  <c r="Z11" i="3"/>
  <c r="AJ8" i="3" l="1"/>
  <c r="AJ14" i="3" s="1"/>
  <c r="AJ13" i="3" l="1"/>
  <c r="AN13" i="3" s="1"/>
  <c r="AN14" i="3"/>
  <c r="AJ11" i="3"/>
  <c r="AN11" i="3" s="1"/>
  <c r="AH14" i="3"/>
  <c r="AH13" i="3" s="1"/>
  <c r="AJ12" i="3"/>
  <c r="AN12" i="3" s="1"/>
  <c r="AH12" i="3"/>
  <c r="AH11" i="3"/>
  <c r="AO11" i="3" l="1"/>
  <c r="AS5" i="3" s="1"/>
  <c r="AO12" i="3"/>
  <c r="AS6" i="3" s="1"/>
  <c r="AO13" i="3"/>
  <c r="AS7" i="3" s="1"/>
  <c r="AR5" i="3" l="1"/>
  <c r="AR6" i="3"/>
  <c r="AO14" i="3"/>
  <c r="AR7" i="3"/>
  <c r="AS8" i="3"/>
  <c r="AR8" i="3" l="1"/>
  <c r="AR14" i="3" s="1"/>
  <c r="AV14" i="3" s="1"/>
  <c r="AR12" i="3" l="1"/>
  <c r="AV12" i="3" s="1"/>
  <c r="AW12" i="3" s="1"/>
  <c r="BA6" i="3" s="1"/>
  <c r="AR13" i="3"/>
  <c r="AV13" i="3" s="1"/>
  <c r="AW13" i="3" s="1"/>
  <c r="AR11" i="3"/>
  <c r="AV11" i="3" s="1"/>
  <c r="AW11" i="3" s="1"/>
  <c r="BA5" i="3" s="1"/>
  <c r="AP14" i="3"/>
  <c r="AP12" i="3" s="1"/>
  <c r="AP13" i="3" l="1"/>
  <c r="AP11" i="3"/>
  <c r="AZ5" i="3"/>
  <c r="BA7" i="3"/>
  <c r="AZ7" i="3"/>
  <c r="BA8" i="3"/>
  <c r="AZ6" i="3"/>
  <c r="AW14" i="3"/>
  <c r="AZ8" i="3" l="1"/>
  <c r="AZ14" i="3" s="1"/>
  <c r="AZ13" i="3" s="1"/>
  <c r="BD13" i="3" s="1"/>
  <c r="AX14" i="3" l="1"/>
  <c r="AZ12" i="3"/>
  <c r="BD12" i="3" s="1"/>
  <c r="BD14" i="3"/>
  <c r="BE13" i="3"/>
  <c r="BI7" i="3" s="1"/>
  <c r="AZ11" i="3"/>
  <c r="BD11" i="3" s="1"/>
  <c r="BE11" i="3" s="1"/>
  <c r="BI5" i="3" s="1"/>
  <c r="AX11" i="3"/>
  <c r="AX13" i="3"/>
  <c r="AX12" i="3"/>
  <c r="BH7" i="3" l="1"/>
  <c r="BE12" i="3"/>
  <c r="BH5" i="3"/>
  <c r="BE14" i="3"/>
  <c r="BI6" i="3" l="1"/>
  <c r="BI8" i="3" s="1"/>
  <c r="BH6" i="3"/>
  <c r="BH8" i="3" s="1"/>
  <c r="BH14" i="3" s="1"/>
  <c r="BL14" i="3" s="1"/>
  <c r="BH11" i="3" l="1"/>
  <c r="BL11" i="3" s="1"/>
  <c r="BM11" i="3" s="1"/>
  <c r="BP5" i="3" s="1"/>
  <c r="BF14" i="3"/>
  <c r="BF11" i="3" s="1"/>
  <c r="BH12" i="3"/>
  <c r="BL12" i="3" s="1"/>
  <c r="BH13" i="3"/>
  <c r="BL13" i="3" s="1"/>
  <c r="BM12" i="3"/>
  <c r="BQ6" i="3" s="1"/>
  <c r="BM13" i="3"/>
  <c r="BQ7" i="3" s="1"/>
  <c r="BF12" i="3" l="1"/>
  <c r="BF13" i="3"/>
  <c r="BM14" i="3"/>
  <c r="BQ5" i="3"/>
  <c r="BQ8" i="3" s="1"/>
  <c r="BP7" i="3"/>
  <c r="BP6" i="3"/>
  <c r="BP8" i="3" l="1"/>
  <c r="BP14" i="3" s="1"/>
  <c r="BP12" i="3" l="1"/>
  <c r="BP11" i="3"/>
  <c r="BP13" i="3"/>
  <c r="BN14" i="3"/>
  <c r="BN12" i="3" l="1"/>
  <c r="BN11" i="3"/>
  <c r="BN1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<sst xmlns="http://schemas.openxmlformats.org/spreadsheetml/2006/main" count="261" uniqueCount="34">
  <si>
    <t>F</t>
  </si>
  <si>
    <t>S</t>
  </si>
  <si>
    <t>Comp.</t>
  </si>
  <si>
    <t>W</t>
  </si>
  <si>
    <t>Tot.</t>
  </si>
  <si>
    <t>M</t>
  </si>
  <si>
    <t>x</t>
  </si>
  <si>
    <t>E</t>
  </si>
  <si>
    <t>R</t>
  </si>
  <si>
    <t>A-1</t>
  </si>
  <si>
    <t>=</t>
  </si>
  <si>
    <r>
      <t>m</t>
    </r>
    <r>
      <rPr>
        <i/>
        <vertAlign val="subscript"/>
        <sz val="11"/>
        <color theme="1"/>
        <rFont val="LM Roman 10"/>
        <family val="3"/>
      </rPr>
      <t>i</t>
    </r>
  </si>
  <si>
    <r>
      <t>x</t>
    </r>
    <r>
      <rPr>
        <i/>
        <vertAlign val="subscript"/>
        <sz val="11"/>
        <color theme="1"/>
        <rFont val="LM Roman 10"/>
        <family val="3"/>
      </rPr>
      <t>i</t>
    </r>
  </si>
  <si>
    <t>x_A (in)</t>
  </si>
  <si>
    <t>x_A (out)</t>
  </si>
  <si>
    <t>A</t>
  </si>
  <si>
    <t>T</t>
  </si>
  <si>
    <t>N</t>
  </si>
  <si>
    <r>
      <t>x</t>
    </r>
    <r>
      <rPr>
        <i/>
        <vertAlign val="subscript"/>
        <sz val="11"/>
        <color theme="1"/>
        <rFont val="LM Roman 10"/>
        <family val="3"/>
      </rPr>
      <t>i</t>
    </r>
    <r>
      <rPr>
        <i/>
        <vertAlign val="superscript"/>
        <sz val="11"/>
        <color theme="1"/>
        <rFont val="LM Roman 10"/>
        <family val="3"/>
      </rPr>
      <t>R</t>
    </r>
  </si>
  <si>
    <r>
      <t>x</t>
    </r>
    <r>
      <rPr>
        <i/>
        <vertAlign val="subscript"/>
        <sz val="11"/>
        <color theme="1"/>
        <rFont val="LM Roman 10"/>
        <family val="3"/>
      </rPr>
      <t>i</t>
    </r>
    <r>
      <rPr>
        <i/>
        <vertAlign val="superscript"/>
        <sz val="11"/>
        <color theme="1"/>
        <rFont val="LM Roman 10"/>
        <family val="3"/>
      </rPr>
      <t>E</t>
    </r>
  </si>
  <si>
    <r>
      <t>E</t>
    </r>
    <r>
      <rPr>
        <vertAlign val="subscript"/>
        <sz val="11"/>
        <color theme="1"/>
        <rFont val="LM Roman 10"/>
        <family val="3"/>
      </rPr>
      <t>1</t>
    </r>
  </si>
  <si>
    <r>
      <t>R</t>
    </r>
    <r>
      <rPr>
        <vertAlign val="subscript"/>
        <sz val="11"/>
        <color theme="1"/>
        <rFont val="LM Roman 10"/>
        <family val="3"/>
      </rPr>
      <t>N</t>
    </r>
  </si>
  <si>
    <t>D</t>
  </si>
  <si>
    <t>-</t>
  </si>
  <si>
    <t>Avg.</t>
  </si>
  <si>
    <t xml:space="preserve"> </t>
  </si>
  <si>
    <t>Stream</t>
  </si>
  <si>
    <t>P2</t>
  </si>
  <si>
    <t>Stage Ext.</t>
  </si>
  <si>
    <t>Overall Ext.</t>
  </si>
  <si>
    <t>Stage Ext. (%)</t>
  </si>
  <si>
    <t>Overall Ext. (%)</t>
  </si>
  <si>
    <t>R (lb/hr)</t>
  </si>
  <si>
    <t>E (lb/hr)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</si>
</sst>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LM Roman 10"/>
      <family val="3"/>
    </font>
    <font>
      <vertAlign val="subscript"/>
      <sz val="11"/>
      <color theme="1"/>
      <name val="LM Roman 10"/>
      <family val="3"/>
    </font>
    <font>
      <i/>
      <sz val="11"/>
      <color theme="1"/>
      <name val="LM Roman 10"/>
      <family val="3"/>
    </font>
    <font>
      <i/>
      <vertAlign val="subscript"/>
      <sz val="11"/>
      <color theme="1"/>
      <name val="LM Roman 10"/>
      <family val="3"/>
    </font>
    <font>
      <i/>
      <vertAlign val="superscript"/>
      <sz val="11"/>
      <color theme="1"/>
      <name val="LM Roman 10"/>
      <family val="3"/>
    </font>
    <font>
      <sz val="11"/>
      <name val="LM Roman 10"/>
      <family val="3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theme="3" tint="0.89999084444715716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1" fillId="4" borderId="1" xfId="0" applyNumberFormat="1" applyFont="1" applyFill="1" applyBorder="1" applyAlignment="1">
      <alignment horizontal="center" vertical="center"/>
    </xf>
    <xf numFmtId="1" fontId="1" fillId="4" borderId="1" xfId="0" applyNumberFormat="1" applyFont="1" applyFill="1" applyBorder="1" applyAlignment="1">
      <alignment horizontal="center" vertical="center"/>
    </xf>
    <xf numFmtId="2" fontId="1" fillId="4" borderId="1" xfId="0" applyNumberFormat="1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64" fontId="1" fillId="4" borderId="0" xfId="0" applyNumberFormat="1" applyFont="1" applyFill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6" fillId="5" borderId="1" xfId="0" applyNumberFormat="1" applyFont="1" applyFill="1" applyBorder="1" applyAlignment="1">
      <alignment horizontal="center" vertical="center"/>
    </xf>
    <xf numFmtId="1" fontId="1" fillId="4" borderId="5" xfId="0" applyNumberFormat="1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1" fontId="1" fillId="5" borderId="1" xfId="0" applyNumberFormat="1" applyFont="1" applyFill="1" applyBorder="1" applyAlignment="1">
      <alignment horizontal="center" vertical="center"/>
    </xf>
    <xf numFmtId="165" fontId="1" fillId="5" borderId="0" xfId="0" applyNumberFormat="1" applyFont="1" applyFill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EBEB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'P1'!$D$40:$J$40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'P1'!$D$41:$J$41</c:f>
              <c:numCache>
                <c:formatCode>0</c:formatCode>
                <c:ptCount val="7"/>
                <c:pt idx="0">
                  <c:v>822.24371373307542</c:v>
                </c:pt>
                <c:pt idx="1">
                  <c:v>585.23533204384353</c:v>
                </c:pt>
                <c:pt idx="2">
                  <c:v>611.21856866537917</c:v>
                </c:pt>
                <c:pt idx="3">
                  <c:v>693.53965183752518</c:v>
                </c:pt>
                <c:pt idx="4">
                  <c:v>422.53384912959598</c:v>
                </c:pt>
                <c:pt idx="5">
                  <c:v>-134.04255319149445</c:v>
                </c:pt>
                <c:pt idx="6">
                  <c:v>233.12379110251408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D92-4CA8-8760-4A957723AB98}"/>
            </c:ext>
          </c:extLst>
        </c:ser>
        <c:ser>
          <c:idx val="1"/>
          <c:order val="1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'P1'!$D$40:$J$40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'P1'!$D$42:$J$42</c:f>
              <c:numCache>
                <c:formatCode>0</c:formatCode>
                <c:ptCount val="7"/>
                <c:pt idx="0">
                  <c:v>822.24371373307542</c:v>
                </c:pt>
                <c:pt idx="1">
                  <c:v>702.79859767891674</c:v>
                </c:pt>
                <c:pt idx="2">
                  <c:v>607.42800343864178</c:v>
                </c:pt>
                <c:pt idx="3">
                  <c:v>552.85206214513005</c:v>
                </c:pt>
                <c:pt idx="4">
                  <c:v>505.50907692666215</c:v>
                </c:pt>
                <c:pt idx="5">
                  <c:v>474.09457746948573</c:v>
                </c:pt>
                <c:pt idx="6">
                  <c:v>432.03968303487864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D92-4CA8-8760-4A957723AB98}"/>
            </c:ext>
          </c:extLst>
        </c:ser>
        <c:ser>
          <c:idx val="2"/>
          <c:order val="2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'P1'!$D$40:$J$40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'P1'!$D$43:$J$43</c:f>
              <c:numCache>
                <c:formatCode>0</c:formatCode>
                <c:ptCount val="7"/>
                <c:pt idx="0">
                  <c:v>822.24371373307542</c:v>
                </c:pt>
                <c:pt idx="1">
                  <c:v>714.96031481357966</c:v>
                </c:pt>
                <c:pt idx="2">
                  <c:v>607.20502901353973</c:v>
                </c:pt>
                <c:pt idx="3">
                  <c:v>548.16247582205028</c:v>
                </c:pt>
                <c:pt idx="4">
                  <c:v>507.55784798337987</c:v>
                </c:pt>
                <c:pt idx="5">
                  <c:v>467.18392825742922</c:v>
                </c:pt>
                <c:pt idx="6">
                  <c:v>423.83696584179148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D92-4CA8-8760-4A957723A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53647"/>
        <c:axId val="10255087"/>
      </c:scatterChart>
      <c:valAx>
        <c:axId val="102536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55087"/>
        <c:crosses val="autoZero"/>
        <c:crossBetween val="midCat"/>
      </c:valAx>
      <c:valAx>
        <c:axId val="10255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536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'P2'!$D$40:$J$40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'P2'!$D$41:$J$41</c:f>
              <c:numCache>
                <c:formatCode>0</c:formatCode>
                <c:ptCount val="7"/>
                <c:pt idx="0">
                  <c:v>822.24371373307542</c:v>
                </c:pt>
                <c:pt idx="1">
                  <c:v>-129.35245977011411</c:v>
                </c:pt>
                <c:pt idx="2">
                  <c:v>-1242.5358620689656</c:v>
                </c:pt>
                <c:pt idx="3">
                  <c:v>-3106.4650298850561</c:v>
                </c:pt>
                <c:pt idx="4">
                  <c:v>-5630.5932413793098</c:v>
                </c:pt>
                <c:pt idx="5">
                  <c:v>14057.205609195385</c:v>
                </c:pt>
                <c:pt idx="6">
                  <c:v>4562.8085747126415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90-4CAE-8F68-01CA505CE979}"/>
            </c:ext>
          </c:extLst>
        </c:ser>
        <c:ser>
          <c:idx val="1"/>
          <c:order val="1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'P2'!$D$40:$J$40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'P2'!$D$42:$J$42</c:f>
              <c:numCache>
                <c:formatCode>0</c:formatCode>
                <c:ptCount val="7"/>
                <c:pt idx="0">
                  <c:v>822.24371373307542</c:v>
                </c:pt>
                <c:pt idx="1">
                  <c:v>179.02691666666666</c:v>
                </c:pt>
                <c:pt idx="2">
                  <c:v>91.176238825032073</c:v>
                </c:pt>
                <c:pt idx="3">
                  <c:v>39.608584352984856</c:v>
                </c:pt>
                <c:pt idx="4">
                  <c:v>-5.1248026589113778</c:v>
                </c:pt>
                <c:pt idx="5">
                  <c:v>-37.027330426740548</c:v>
                </c:pt>
                <c:pt idx="6">
                  <c:v>-79.735553083673082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90-4CAE-8F68-01CA505CE979}"/>
            </c:ext>
          </c:extLst>
        </c:ser>
        <c:ser>
          <c:idx val="2"/>
          <c:order val="2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'P2'!$D$40:$J$40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'P2'!$D$43:$J$43</c:f>
              <c:numCache>
                <c:formatCode>0</c:formatCode>
                <c:ptCount val="7"/>
                <c:pt idx="0">
                  <c:v>822.24371373307542</c:v>
                </c:pt>
                <c:pt idx="1">
                  <c:v>210.9282314704717</c:v>
                </c:pt>
                <c:pt idx="2">
                  <c:v>169.62989181879652</c:v>
                </c:pt>
                <c:pt idx="3">
                  <c:v>144.47770482758622</c:v>
                </c:pt>
                <c:pt idx="4">
                  <c:v>133.77565261813538</c:v>
                </c:pt>
                <c:pt idx="5">
                  <c:v>123.13440752351099</c:v>
                </c:pt>
                <c:pt idx="6">
                  <c:v>111.70956558833987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790-4CAE-8F68-01CA505CE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53647"/>
        <c:axId val="10255087"/>
      </c:scatterChart>
      <c:valAx>
        <c:axId val="102536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55087"/>
        <c:crosses val="autoZero"/>
        <c:crossBetween val="midCat"/>
      </c:valAx>
      <c:valAx>
        <c:axId val="10255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536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266700</xdr:colOff>
      <xdr:row>33</xdr:row>
      <xdr:rowOff>140970</xdr:rowOff>
    </xdr:from>
    <xdr:to>
      <xdr:col>19</xdr:col>
      <xdr:colOff>571500</xdr:colOff>
      <xdr:row>45</xdr:row>
      <xdr:rowOff>140970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74E45F08-3FFB-C2B6-4AC0-880A8ABB7E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266700</xdr:colOff>
      <xdr:row>33</xdr:row>
      <xdr:rowOff>140970</xdr:rowOff>
    </xdr:from>
    <xdr:to>
      <xdr:col>19</xdr:col>
      <xdr:colOff>571500</xdr:colOff>
      <xdr:row>45</xdr:row>
      <xdr:rowOff>140970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564929B-E0FD-403B-BE70-246B55FBCF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579120</xdr:colOff>
      <xdr:row>2</xdr:row>
      <xdr:rowOff>205740</xdr:rowOff>
    </xdr:from>
    <xdr:to>
      <xdr:col>28</xdr:col>
      <xdr:colOff>520326</xdr:colOff>
      <xdr:row>12</xdr:row>
      <xdr:rowOff>198120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C3E4CD0-C58E-0C19-3306-89E0C35261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662940"/>
          <a:ext cx="15181206" cy="2278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F2D08-2D4A-4AD5-A929-421FBCFE2B4E}">
  <dimension ref="A3:Z47"/>
  <sheetViews>
    <sheetView tabSelected="1" topLeftCell="A24" workbookViewId="0">
      <selection activeCell="K34" sqref="K34"/>
    </sheetView>
  </sheetViews>
  <sheetFormatPr defaultRowHeight="18" x14ac:dyDescent="0.3"/>
  <cols>
    <col min="1" max="1" width="8.88671875" style="3"/>
    <col min="2" max="2" width="11.109375" style="3" customWidth="1"/>
    <col min="3" max="16384" width="8.88671875" style="3"/>
  </cols>
  <sheetData>
    <row r="3" spans="3:24" x14ac:dyDescent="0.3">
      <c r="C3" s="1" t="s">
        <v>0</v>
      </c>
      <c r="D3" s="2">
        <v>1000</v>
      </c>
    </row>
    <row r="4" spans="3:24" x14ac:dyDescent="0.3">
      <c r="C4" s="1" t="s">
        <v>1</v>
      </c>
      <c r="D4" s="2">
        <v>400</v>
      </c>
      <c r="P4" s="3" t="s">
        <v>8</v>
      </c>
      <c r="Q4" s="3" t="s">
        <v>7</v>
      </c>
    </row>
    <row r="5" spans="3:24" x14ac:dyDescent="0.3">
      <c r="C5" s="1" t="s">
        <v>13</v>
      </c>
      <c r="D5" s="2">
        <v>0.4</v>
      </c>
      <c r="P5" s="3">
        <f>$H$14*(I11-K11)/(M11-K11)</f>
        <v>554.54545454545462</v>
      </c>
      <c r="Q5" s="3">
        <f>$H$14*(I11-M11)/(K11-M11)</f>
        <v>845.45454545454527</v>
      </c>
    </row>
    <row r="6" spans="3:24" x14ac:dyDescent="0.3">
      <c r="C6" s="1" t="s">
        <v>14</v>
      </c>
      <c r="D6" s="2">
        <v>0.05</v>
      </c>
      <c r="P6" s="3">
        <f t="shared" ref="P6" si="0">$H$14*(I12-K12)/(M12-K12)</f>
        <v>578.72340425531922</v>
      </c>
      <c r="Q6" s="3">
        <f t="shared" ref="Q6:Q7" si="1">$H$14*(I12-M12)/(K12-M12)</f>
        <v>821.27659574468078</v>
      </c>
    </row>
    <row r="7" spans="3:24" x14ac:dyDescent="0.3">
      <c r="P7" s="3">
        <f>$H$14*(I13-K13)/(M13-K13)</f>
        <v>600</v>
      </c>
      <c r="Q7" s="3">
        <f t="shared" si="1"/>
        <v>800</v>
      </c>
    </row>
    <row r="8" spans="3:24" x14ac:dyDescent="0.3">
      <c r="P8" s="3">
        <f>AVERAGE(P5:P7)</f>
        <v>577.75628626692458</v>
      </c>
      <c r="Q8" s="3">
        <f>AVERAGE(Q5:Q7)</f>
        <v>822.24371373307531</v>
      </c>
    </row>
    <row r="9" spans="3:24" x14ac:dyDescent="0.3">
      <c r="C9" s="29" t="s">
        <v>2</v>
      </c>
      <c r="D9" s="31" t="s">
        <v>0</v>
      </c>
      <c r="E9" s="32"/>
      <c r="F9" s="31" t="s">
        <v>1</v>
      </c>
      <c r="G9" s="32"/>
      <c r="H9" s="31" t="s">
        <v>5</v>
      </c>
      <c r="I9" s="32"/>
      <c r="J9" s="31" t="s">
        <v>7</v>
      </c>
      <c r="K9" s="32"/>
      <c r="L9" s="31" t="s">
        <v>8</v>
      </c>
      <c r="M9" s="32"/>
    </row>
    <row r="10" spans="3:24" x14ac:dyDescent="0.3">
      <c r="C10" s="30"/>
      <c r="D10" s="14" t="s">
        <v>11</v>
      </c>
      <c r="E10" s="14" t="s">
        <v>12</v>
      </c>
      <c r="F10" s="14" t="s">
        <v>11</v>
      </c>
      <c r="G10" s="14" t="s">
        <v>12</v>
      </c>
      <c r="H10" s="14" t="s">
        <v>11</v>
      </c>
      <c r="I10" s="14" t="s">
        <v>12</v>
      </c>
      <c r="J10" s="14" t="s">
        <v>11</v>
      </c>
      <c r="K10" s="14" t="s">
        <v>12</v>
      </c>
      <c r="L10" s="14" t="s">
        <v>11</v>
      </c>
      <c r="M10" s="14" t="s">
        <v>12</v>
      </c>
      <c r="Q10" s="3" t="s">
        <v>9</v>
      </c>
    </row>
    <row r="11" spans="3:24" x14ac:dyDescent="0.3">
      <c r="C11" s="1" t="s">
        <v>15</v>
      </c>
      <c r="D11" s="7">
        <f>E11*D$14</f>
        <v>400</v>
      </c>
      <c r="E11" s="17">
        <f>D5</f>
        <v>0.4</v>
      </c>
      <c r="F11" s="17">
        <v>0</v>
      </c>
      <c r="G11" s="17">
        <v>0</v>
      </c>
      <c r="H11" s="7">
        <f t="shared" ref="H11:H13" si="2">D11+F11</f>
        <v>400</v>
      </c>
      <c r="I11" s="8">
        <f>H11/$H$14</f>
        <v>0.2857142857142857</v>
      </c>
      <c r="J11" s="11">
        <f>$J$14*K11</f>
        <v>378.23210831721474</v>
      </c>
      <c r="K11" s="4">
        <v>0.46</v>
      </c>
      <c r="L11" s="9">
        <f>M11*$L$14</f>
        <v>11.555125725338492</v>
      </c>
      <c r="M11" s="4">
        <v>0.02</v>
      </c>
      <c r="P11" s="6">
        <f>K11</f>
        <v>0.46</v>
      </c>
      <c r="Q11" s="6">
        <f>M11</f>
        <v>0.02</v>
      </c>
      <c r="R11" s="3" t="s">
        <v>6</v>
      </c>
      <c r="S11" s="3">
        <f>H11</f>
        <v>400</v>
      </c>
      <c r="T11" s="3" t="s">
        <v>10</v>
      </c>
      <c r="U11" s="3" cm="1">
        <f t="array" ref="U11:U12">MMULT(MINVERSE(P11:Q12),S11:S12)</f>
        <v>888.63636363636374</v>
      </c>
    </row>
    <row r="12" spans="3:24" x14ac:dyDescent="0.3">
      <c r="C12" s="1" t="s">
        <v>3</v>
      </c>
      <c r="D12" s="7">
        <f t="shared" ref="D12:D13" si="3">E12*D$14</f>
        <v>600</v>
      </c>
      <c r="E12" s="17">
        <f>1-E11</f>
        <v>0.6</v>
      </c>
      <c r="F12" s="17">
        <v>0</v>
      </c>
      <c r="G12" s="17">
        <v>0</v>
      </c>
      <c r="H12" s="7">
        <f t="shared" si="2"/>
        <v>600</v>
      </c>
      <c r="I12" s="8">
        <f t="shared" ref="I12:I13" si="4">H12/$H$14</f>
        <v>0.42857142857142855</v>
      </c>
      <c r="J12" s="11">
        <f t="shared" ref="J12:J13" si="5">$J$14*K12</f>
        <v>32.889748549323016</v>
      </c>
      <c r="K12" s="4">
        <v>0.04</v>
      </c>
      <c r="L12" s="11">
        <f t="shared" ref="L12:L13" si="6">M12*$L$14</f>
        <v>566.20116054158609</v>
      </c>
      <c r="M12" s="4">
        <v>0.98</v>
      </c>
      <c r="P12" s="3">
        <v>1</v>
      </c>
      <c r="Q12" s="3">
        <v>1</v>
      </c>
      <c r="S12" s="3">
        <v>450</v>
      </c>
      <c r="U12" s="3">
        <v>-438.63636363636368</v>
      </c>
      <c r="W12" s="3">
        <f>AVERAGE(U11,U14,U17)</f>
        <v>619.97098646034817</v>
      </c>
      <c r="X12" s="3">
        <f>SUM(W12:W13)</f>
        <v>450</v>
      </c>
    </row>
    <row r="13" spans="3:24" x14ac:dyDescent="0.3">
      <c r="C13" s="1" t="s">
        <v>16</v>
      </c>
      <c r="D13" s="16">
        <f t="shared" si="3"/>
        <v>0</v>
      </c>
      <c r="E13" s="17">
        <v>0</v>
      </c>
      <c r="F13" s="7">
        <f>D4</f>
        <v>400</v>
      </c>
      <c r="G13" s="17">
        <v>1</v>
      </c>
      <c r="H13" s="7">
        <f t="shared" si="2"/>
        <v>400</v>
      </c>
      <c r="I13" s="8">
        <f t="shared" si="4"/>
        <v>0.2857142857142857</v>
      </c>
      <c r="J13" s="11">
        <f t="shared" si="5"/>
        <v>411.12185686653771</v>
      </c>
      <c r="K13" s="3">
        <v>0.5</v>
      </c>
      <c r="L13" s="10">
        <f t="shared" si="6"/>
        <v>0</v>
      </c>
      <c r="M13" s="4">
        <v>0</v>
      </c>
      <c r="W13" s="3">
        <f>AVERAGE(U12,U15,U18)</f>
        <v>-169.9709864603482</v>
      </c>
    </row>
    <row r="14" spans="3:24" x14ac:dyDescent="0.3">
      <c r="C14" s="1" t="s">
        <v>4</v>
      </c>
      <c r="D14" s="7">
        <f>D3</f>
        <v>1000</v>
      </c>
      <c r="E14" s="17">
        <f>SUM(E11:E13)</f>
        <v>1</v>
      </c>
      <c r="F14" s="16">
        <f>SUM(F11:F13)</f>
        <v>400</v>
      </c>
      <c r="G14" s="17">
        <v>1</v>
      </c>
      <c r="H14" s="7">
        <f>D14+F14</f>
        <v>1400</v>
      </c>
      <c r="I14" s="17">
        <f>SUM(I11:I13)</f>
        <v>0.99999999999999989</v>
      </c>
      <c r="J14" s="11">
        <f>H14-L14</f>
        <v>822.24371373307542</v>
      </c>
      <c r="K14" s="9">
        <f>SUM(K11:K13)</f>
        <v>1</v>
      </c>
      <c r="L14" s="11">
        <f>P8</f>
        <v>577.75628626692458</v>
      </c>
      <c r="M14" s="9">
        <f>SUM(M11:M13)</f>
        <v>1</v>
      </c>
      <c r="P14" s="6">
        <f>K12</f>
        <v>0.04</v>
      </c>
      <c r="Q14" s="6">
        <f>M12</f>
        <v>0.98</v>
      </c>
      <c r="S14" s="3">
        <v>280</v>
      </c>
      <c r="U14" s="3" cm="1">
        <f t="array" ref="U14:U15">MMULT(MINVERSE(P14:Q15),S14:S15)</f>
        <v>171.27659574468089</v>
      </c>
    </row>
    <row r="15" spans="3:24" x14ac:dyDescent="0.3">
      <c r="J15" s="12">
        <f>SUM(J11:J13)</f>
        <v>822.24371373307554</v>
      </c>
      <c r="L15" s="13">
        <f>SUM(L11:L13)</f>
        <v>577.75628626692458</v>
      </c>
      <c r="P15" s="6">
        <v>1</v>
      </c>
      <c r="Q15" s="6">
        <v>1</v>
      </c>
      <c r="S15" s="3">
        <v>450</v>
      </c>
      <c r="U15" s="3">
        <v>278.72340425531911</v>
      </c>
    </row>
    <row r="17" spans="3:21" x14ac:dyDescent="0.3">
      <c r="P17" s="6">
        <f>K13</f>
        <v>0.5</v>
      </c>
      <c r="Q17" s="6">
        <f>M13</f>
        <v>0</v>
      </c>
      <c r="S17" s="3">
        <f>H13</f>
        <v>400</v>
      </c>
      <c r="U17" s="3" cm="1">
        <f t="array" ref="U17:U18">MMULT(MINVERSE(P17:Q18),S17:S18)</f>
        <v>800</v>
      </c>
    </row>
    <row r="18" spans="3:21" x14ac:dyDescent="0.3">
      <c r="C18" s="29" t="s">
        <v>2</v>
      </c>
      <c r="D18" s="31" t="s">
        <v>5</v>
      </c>
      <c r="E18" s="32"/>
      <c r="F18" s="31" t="s">
        <v>20</v>
      </c>
      <c r="G18" s="32"/>
      <c r="H18" s="31" t="s">
        <v>21</v>
      </c>
      <c r="I18" s="32"/>
      <c r="P18" s="3">
        <v>1</v>
      </c>
      <c r="Q18" s="3">
        <v>1</v>
      </c>
      <c r="S18" s="3">
        <v>450</v>
      </c>
      <c r="U18" s="3">
        <v>-350</v>
      </c>
    </row>
    <row r="19" spans="3:21" x14ac:dyDescent="0.3">
      <c r="C19" s="30"/>
      <c r="D19" s="14" t="s">
        <v>11</v>
      </c>
      <c r="E19" s="14" t="s">
        <v>12</v>
      </c>
      <c r="F19" s="14" t="s">
        <v>11</v>
      </c>
      <c r="G19" s="14" t="s">
        <v>12</v>
      </c>
      <c r="H19" s="14" t="s">
        <v>11</v>
      </c>
      <c r="I19" s="14" t="s">
        <v>12</v>
      </c>
    </row>
    <row r="20" spans="3:21" x14ac:dyDescent="0.3">
      <c r="C20" s="1" t="s">
        <v>15</v>
      </c>
      <c r="D20" s="7">
        <v>400</v>
      </c>
      <c r="E20" s="8">
        <v>0.2857142857142857</v>
      </c>
      <c r="F20" s="16">
        <v>378.23210831721474</v>
      </c>
      <c r="G20" s="8">
        <v>0.46</v>
      </c>
      <c r="H20" s="16">
        <v>11.555125725338492</v>
      </c>
      <c r="I20" s="8">
        <v>0.02</v>
      </c>
    </row>
    <row r="21" spans="3:21" x14ac:dyDescent="0.3">
      <c r="C21" s="1" t="s">
        <v>3</v>
      </c>
      <c r="D21" s="7">
        <v>600</v>
      </c>
      <c r="E21" s="8">
        <v>0.42857142857142855</v>
      </c>
      <c r="F21" s="15">
        <v>32.889748549323016</v>
      </c>
      <c r="G21" s="8">
        <v>0.04</v>
      </c>
      <c r="H21" s="16">
        <v>566.20116054158609</v>
      </c>
      <c r="I21" s="8">
        <v>0.98</v>
      </c>
    </row>
    <row r="22" spans="3:21" x14ac:dyDescent="0.3">
      <c r="C22" s="1" t="s">
        <v>16</v>
      </c>
      <c r="D22" s="7">
        <v>400</v>
      </c>
      <c r="E22" s="8">
        <v>0.2857142857142857</v>
      </c>
      <c r="F22" s="15">
        <v>411.12185686653771</v>
      </c>
      <c r="G22" s="20">
        <v>0.5</v>
      </c>
      <c r="H22" s="16">
        <v>0</v>
      </c>
      <c r="I22" s="8">
        <v>0</v>
      </c>
    </row>
    <row r="23" spans="3:21" x14ac:dyDescent="0.3">
      <c r="C23" s="1" t="s">
        <v>4</v>
      </c>
      <c r="D23" s="7">
        <v>1400</v>
      </c>
      <c r="E23" s="17">
        <v>0.99999999999999989</v>
      </c>
      <c r="F23" s="16">
        <v>822.24371373307542</v>
      </c>
      <c r="G23" s="17">
        <v>1</v>
      </c>
      <c r="H23" s="16">
        <v>577.75628626692458</v>
      </c>
      <c r="I23" s="17">
        <v>1</v>
      </c>
    </row>
    <row r="26" spans="3:21" ht="19.2" x14ac:dyDescent="0.3">
      <c r="C26" s="33" t="s">
        <v>18</v>
      </c>
      <c r="D26" s="33"/>
      <c r="E26" s="33"/>
      <c r="F26" s="33"/>
      <c r="G26" s="33"/>
      <c r="H26" s="33"/>
      <c r="I26" s="33"/>
      <c r="J26" s="33"/>
    </row>
    <row r="27" spans="3:21" x14ac:dyDescent="0.3">
      <c r="C27" s="19" t="s">
        <v>17</v>
      </c>
      <c r="D27" s="7">
        <v>1</v>
      </c>
      <c r="E27" s="7">
        <v>2</v>
      </c>
      <c r="F27" s="7">
        <v>3</v>
      </c>
      <c r="G27" s="7">
        <v>4</v>
      </c>
      <c r="H27" s="7">
        <v>5</v>
      </c>
      <c r="I27" s="7">
        <v>6</v>
      </c>
      <c r="J27" s="7">
        <v>7</v>
      </c>
    </row>
    <row r="28" spans="3:21" x14ac:dyDescent="0.3">
      <c r="C28" s="1" t="s">
        <v>15</v>
      </c>
      <c r="D28" s="17">
        <v>0.32</v>
      </c>
      <c r="E28" s="7">
        <v>0.26</v>
      </c>
      <c r="F28" s="7">
        <v>0.22</v>
      </c>
      <c r="G28" s="7">
        <v>0.17</v>
      </c>
      <c r="H28" s="7">
        <v>0.13</v>
      </c>
      <c r="I28" s="7">
        <v>7.0000000000000007E-2</v>
      </c>
      <c r="J28" s="17" cm="1">
        <f t="array" ref="J28:J30">M11:M13</f>
        <v>0.02</v>
      </c>
    </row>
    <row r="29" spans="3:21" x14ac:dyDescent="0.3">
      <c r="C29" s="1" t="s">
        <v>3</v>
      </c>
      <c r="D29" s="7">
        <v>0.66</v>
      </c>
      <c r="E29" s="7">
        <v>0.73</v>
      </c>
      <c r="F29" s="7">
        <v>0.78</v>
      </c>
      <c r="G29" s="7">
        <v>0.83</v>
      </c>
      <c r="H29" s="7">
        <v>0.87</v>
      </c>
      <c r="I29" s="7">
        <f>0.93</f>
        <v>0.93</v>
      </c>
      <c r="J29" s="7">
        <v>0.98</v>
      </c>
    </row>
    <row r="30" spans="3:21" x14ac:dyDescent="0.3">
      <c r="C30" s="1" t="s">
        <v>16</v>
      </c>
      <c r="D30" s="7">
        <v>0.02</v>
      </c>
      <c r="E30" s="7">
        <v>0.01</v>
      </c>
      <c r="F30" s="17">
        <v>0</v>
      </c>
      <c r="G30" s="17">
        <v>0</v>
      </c>
      <c r="H30" s="17">
        <v>0</v>
      </c>
      <c r="I30" s="17">
        <v>0</v>
      </c>
      <c r="J30" s="17">
        <v>0</v>
      </c>
      <c r="M30" s="3">
        <f>I44*I35</f>
        <v>56.476710343614897</v>
      </c>
      <c r="N30" s="3">
        <f>M30/D11</f>
        <v>0.14119177585903725</v>
      </c>
    </row>
    <row r="31" spans="3:21" x14ac:dyDescent="0.3">
      <c r="C31" s="1" t="s">
        <v>4</v>
      </c>
      <c r="D31" s="17">
        <f t="shared" ref="D31:I31" si="7">SUM(D28:D30)</f>
        <v>1</v>
      </c>
      <c r="E31" s="17">
        <f t="shared" si="7"/>
        <v>1</v>
      </c>
      <c r="F31" s="17">
        <f t="shared" si="7"/>
        <v>1</v>
      </c>
      <c r="G31" s="17">
        <f t="shared" si="7"/>
        <v>1</v>
      </c>
      <c r="H31" s="17">
        <f t="shared" si="7"/>
        <v>1</v>
      </c>
      <c r="I31" s="17">
        <f t="shared" si="7"/>
        <v>1</v>
      </c>
      <c r="J31" s="17">
        <f>SUM(J28:J30)</f>
        <v>1</v>
      </c>
    </row>
    <row r="33" spans="1:26" ht="19.2" x14ac:dyDescent="0.3">
      <c r="C33" s="33" t="s">
        <v>19</v>
      </c>
      <c r="D33" s="33"/>
      <c r="E33" s="33"/>
      <c r="F33" s="33"/>
      <c r="G33" s="33"/>
      <c r="H33" s="33"/>
      <c r="I33" s="33"/>
      <c r="J33" s="33"/>
    </row>
    <row r="34" spans="1:26" x14ac:dyDescent="0.3">
      <c r="C34" s="19" t="s">
        <v>17</v>
      </c>
      <c r="D34" s="7">
        <v>1</v>
      </c>
      <c r="E34" s="7">
        <v>2</v>
      </c>
      <c r="F34" s="7">
        <v>3</v>
      </c>
      <c r="G34" s="7">
        <v>4</v>
      </c>
      <c r="H34" s="7">
        <v>5</v>
      </c>
      <c r="I34" s="7">
        <v>6</v>
      </c>
      <c r="J34" s="7">
        <v>7</v>
      </c>
    </row>
    <row r="35" spans="1:26" x14ac:dyDescent="0.3">
      <c r="C35" s="1" t="s">
        <v>15</v>
      </c>
      <c r="D35" s="17" cm="1">
        <f t="array" ref="D35:D37">K11:K13</f>
        <v>0.46</v>
      </c>
      <c r="E35" s="7">
        <v>0.38</v>
      </c>
      <c r="F35" s="17">
        <v>0.3</v>
      </c>
      <c r="G35" s="7">
        <v>0.245</v>
      </c>
      <c r="H35" s="7">
        <v>0.19</v>
      </c>
      <c r="I35" s="7">
        <v>0.12</v>
      </c>
      <c r="J35" s="17">
        <v>0.03</v>
      </c>
    </row>
    <row r="36" spans="1:26" x14ac:dyDescent="0.3">
      <c r="C36" s="1" t="s">
        <v>3</v>
      </c>
      <c r="D36" s="7">
        <v>0.04</v>
      </c>
      <c r="E36" s="7">
        <v>0.02</v>
      </c>
      <c r="F36" s="7">
        <v>0.01</v>
      </c>
      <c r="G36" s="7">
        <v>5.0000000000000001E-3</v>
      </c>
      <c r="H36" s="17">
        <v>0</v>
      </c>
      <c r="I36" s="17">
        <v>0</v>
      </c>
      <c r="J36" s="17">
        <v>0</v>
      </c>
    </row>
    <row r="37" spans="1:26" x14ac:dyDescent="0.3">
      <c r="C37" s="1" t="s">
        <v>16</v>
      </c>
      <c r="D37" s="17">
        <v>0.5</v>
      </c>
      <c r="E37" s="17">
        <v>0.6</v>
      </c>
      <c r="F37" s="17">
        <v>0.69</v>
      </c>
      <c r="G37" s="17">
        <v>0.75</v>
      </c>
      <c r="H37" s="17">
        <v>0.81</v>
      </c>
      <c r="I37" s="17">
        <v>0.88</v>
      </c>
      <c r="J37" s="17">
        <v>0.97</v>
      </c>
    </row>
    <row r="38" spans="1:26" x14ac:dyDescent="0.3">
      <c r="C38" s="1" t="s">
        <v>4</v>
      </c>
      <c r="D38" s="17">
        <f t="shared" ref="D38" si="8">SUM(D35:D37)</f>
        <v>1</v>
      </c>
      <c r="E38" s="17">
        <f t="shared" ref="E38" si="9">SUM(E35:E37)</f>
        <v>1</v>
      </c>
      <c r="F38" s="17">
        <f t="shared" ref="F38" si="10">SUM(F35:F37)</f>
        <v>1</v>
      </c>
      <c r="G38" s="17">
        <f t="shared" ref="G38" si="11">SUM(G35:G37)</f>
        <v>1</v>
      </c>
      <c r="H38" s="17">
        <f t="shared" ref="H38" si="12">SUM(H35:H37)</f>
        <v>1</v>
      </c>
      <c r="I38" s="17">
        <f t="shared" ref="I38" si="13">SUM(I35:I37)</f>
        <v>1</v>
      </c>
      <c r="J38" s="17">
        <f>SUM(J35:J37)</f>
        <v>1</v>
      </c>
    </row>
    <row r="40" spans="1:26" x14ac:dyDescent="0.3">
      <c r="A40" s="3" t="s">
        <v>22</v>
      </c>
      <c r="B40" s="1" t="s">
        <v>26</v>
      </c>
      <c r="C40" s="19" t="s">
        <v>17</v>
      </c>
      <c r="D40" s="1">
        <v>1</v>
      </c>
      <c r="E40" s="1">
        <v>2</v>
      </c>
      <c r="F40" s="1">
        <v>3</v>
      </c>
      <c r="G40" s="1">
        <v>4</v>
      </c>
      <c r="H40" s="1">
        <v>5</v>
      </c>
      <c r="I40" s="1">
        <v>6</v>
      </c>
      <c r="J40" s="1">
        <v>7</v>
      </c>
      <c r="K40" s="3">
        <v>8</v>
      </c>
      <c r="L40" s="3">
        <v>1</v>
      </c>
      <c r="M40" s="3">
        <f>L40+1</f>
        <v>2</v>
      </c>
      <c r="N40" s="3">
        <f t="shared" ref="N40:R40" si="14">M40+1</f>
        <v>3</v>
      </c>
      <c r="O40" s="3">
        <f t="shared" si="14"/>
        <v>4</v>
      </c>
      <c r="P40" s="3">
        <f t="shared" si="14"/>
        <v>5</v>
      </c>
      <c r="Q40" s="3">
        <f t="shared" si="14"/>
        <v>6</v>
      </c>
      <c r="R40" s="3">
        <f t="shared" si="14"/>
        <v>7</v>
      </c>
      <c r="T40" s="3">
        <v>1</v>
      </c>
      <c r="U40" s="3">
        <f>T40+1</f>
        <v>2</v>
      </c>
      <c r="V40" s="3">
        <f t="shared" ref="V40:Z40" si="15">U40+1</f>
        <v>3</v>
      </c>
      <c r="W40" s="3">
        <f t="shared" si="15"/>
        <v>4</v>
      </c>
      <c r="X40" s="3">
        <f t="shared" si="15"/>
        <v>5</v>
      </c>
      <c r="Y40" s="3">
        <f t="shared" si="15"/>
        <v>6</v>
      </c>
      <c r="Z40" s="3">
        <f t="shared" si="15"/>
        <v>7</v>
      </c>
    </row>
    <row r="41" spans="1:26" x14ac:dyDescent="0.3">
      <c r="A41" s="21">
        <f>D14-J14</f>
        <v>177.75628626692458</v>
      </c>
      <c r="B41" s="28" t="s">
        <v>7</v>
      </c>
      <c r="C41" s="7" t="s">
        <v>15</v>
      </c>
      <c r="D41" s="16">
        <f>$F$23</f>
        <v>822.24371373307542</v>
      </c>
      <c r="E41" s="16">
        <f>(D28*$A$41+$J$11-$D$11)/(E35-D28)</f>
        <v>585.23533204384353</v>
      </c>
      <c r="F41" s="16">
        <f t="shared" ref="F41:J41" si="16">(E28*$A$41+$J$11-$D$11)/(F35-E28)</f>
        <v>611.21856866537917</v>
      </c>
      <c r="G41" s="16">
        <f t="shared" si="16"/>
        <v>693.53965183752518</v>
      </c>
      <c r="H41" s="16">
        <f t="shared" si="16"/>
        <v>422.53384912959598</v>
      </c>
      <c r="I41" s="22">
        <f t="shared" si="16"/>
        <v>-134.04255319149445</v>
      </c>
      <c r="J41" s="16">
        <f t="shared" si="16"/>
        <v>233.12379110251408</v>
      </c>
    </row>
    <row r="42" spans="1:26" x14ac:dyDescent="0.3">
      <c r="B42" s="28"/>
      <c r="C42" s="7" t="s">
        <v>3</v>
      </c>
      <c r="D42" s="16">
        <f>$F$23</f>
        <v>822.24371373307542</v>
      </c>
      <c r="E42" s="16">
        <f t="shared" ref="E42:J42" si="17">(D29*$A$41+$J$12-$D$12)/(E36-D29)</f>
        <v>702.79859767891674</v>
      </c>
      <c r="F42" s="16">
        <f t="shared" si="17"/>
        <v>607.42800343864178</v>
      </c>
      <c r="G42" s="16">
        <f t="shared" si="17"/>
        <v>552.85206214513005</v>
      </c>
      <c r="H42" s="16">
        <f t="shared" si="17"/>
        <v>505.50907692666215</v>
      </c>
      <c r="I42" s="16">
        <f t="shared" si="17"/>
        <v>474.09457746948573</v>
      </c>
      <c r="J42" s="16">
        <f t="shared" si="17"/>
        <v>432.03968303487864</v>
      </c>
    </row>
    <row r="43" spans="1:26" x14ac:dyDescent="0.3">
      <c r="B43" s="28"/>
      <c r="C43" s="7" t="s">
        <v>16</v>
      </c>
      <c r="D43" s="16">
        <f>$F$23</f>
        <v>822.24371373307542</v>
      </c>
      <c r="E43" s="16">
        <f t="shared" ref="E43:J43" si="18">(D30*$A$41+$J$13-$D$13)/(E37-D30)</f>
        <v>714.96031481357966</v>
      </c>
      <c r="F43" s="16">
        <f t="shared" si="18"/>
        <v>607.20502901353973</v>
      </c>
      <c r="G43" s="16">
        <f t="shared" si="18"/>
        <v>548.16247582205028</v>
      </c>
      <c r="H43" s="16">
        <f t="shared" si="18"/>
        <v>507.55784798337987</v>
      </c>
      <c r="I43" s="16">
        <f t="shared" si="18"/>
        <v>467.18392825742922</v>
      </c>
      <c r="J43" s="16">
        <f t="shared" si="18"/>
        <v>423.83696584179148</v>
      </c>
    </row>
    <row r="44" spans="1:26" x14ac:dyDescent="0.3">
      <c r="B44" s="28"/>
      <c r="C44" s="7" t="s">
        <v>24</v>
      </c>
      <c r="D44" s="16">
        <f>AVERAGE(D42:D43)</f>
        <v>822.24371373307542</v>
      </c>
      <c r="E44" s="16">
        <f t="shared" ref="E44:J44" si="19">AVERAGE(E42:E43)</f>
        <v>708.8794562462482</v>
      </c>
      <c r="F44" s="16">
        <f t="shared" si="19"/>
        <v>607.3165162260907</v>
      </c>
      <c r="G44" s="16">
        <f t="shared" si="19"/>
        <v>550.50726898359017</v>
      </c>
      <c r="H44" s="16">
        <f t="shared" si="19"/>
        <v>506.53346245502098</v>
      </c>
      <c r="I44" s="16">
        <f t="shared" si="19"/>
        <v>470.6392528634575</v>
      </c>
      <c r="J44" s="16">
        <f t="shared" si="19"/>
        <v>427.93832443833503</v>
      </c>
      <c r="K44" s="3">
        <v>400</v>
      </c>
    </row>
    <row r="45" spans="1:26" x14ac:dyDescent="0.3">
      <c r="B45" s="7" t="s">
        <v>8</v>
      </c>
      <c r="C45" s="7" t="s">
        <v>24</v>
      </c>
      <c r="D45" s="16">
        <f>$A$41+E44</f>
        <v>886.63574251317277</v>
      </c>
      <c r="E45" s="16">
        <f>$A$41+F44</f>
        <v>785.07280249301527</v>
      </c>
      <c r="F45" s="16">
        <f t="shared" ref="F45:J45" si="20">$A$41+G44</f>
        <v>728.26355525051474</v>
      </c>
      <c r="G45" s="16">
        <f t="shared" si="20"/>
        <v>684.28974872194556</v>
      </c>
      <c r="H45" s="16">
        <f t="shared" si="20"/>
        <v>648.39553913038208</v>
      </c>
      <c r="I45" s="16">
        <f t="shared" si="20"/>
        <v>605.69461070525961</v>
      </c>
      <c r="J45" s="16">
        <f t="shared" si="20"/>
        <v>577.75628626692458</v>
      </c>
    </row>
    <row r="46" spans="1:26" x14ac:dyDescent="0.3">
      <c r="A46" s="3" t="s">
        <v>25</v>
      </c>
      <c r="D46" s="23">
        <f>D44+D45</f>
        <v>1708.8794562462481</v>
      </c>
      <c r="E46" s="23">
        <f t="shared" ref="E46:J46" si="21">E44+E45</f>
        <v>1493.9522587392635</v>
      </c>
      <c r="F46" s="23">
        <f t="shared" si="21"/>
        <v>1335.5800714766056</v>
      </c>
      <c r="G46" s="23">
        <f t="shared" si="21"/>
        <v>1234.7970177055358</v>
      </c>
      <c r="H46" s="23">
        <f t="shared" si="21"/>
        <v>1154.9290015854031</v>
      </c>
      <c r="I46" s="23">
        <f t="shared" si="21"/>
        <v>1076.3338635687171</v>
      </c>
      <c r="J46" s="23">
        <f t="shared" si="21"/>
        <v>1005.6946107052596</v>
      </c>
    </row>
    <row r="47" spans="1:26" x14ac:dyDescent="0.3">
      <c r="E47" s="21">
        <f>D45+F44</f>
        <v>1493.9522587392635</v>
      </c>
      <c r="F47" s="21">
        <f t="shared" ref="F47:I47" si="22">E45+G44</f>
        <v>1335.5800714766056</v>
      </c>
      <c r="G47" s="21">
        <f t="shared" si="22"/>
        <v>1234.7970177055358</v>
      </c>
      <c r="H47" s="21">
        <f t="shared" si="22"/>
        <v>1154.9290015854031</v>
      </c>
      <c r="I47" s="21">
        <f t="shared" si="22"/>
        <v>1076.3338635687171</v>
      </c>
    </row>
  </sheetData>
  <mergeCells count="13">
    <mergeCell ref="C9:C10"/>
    <mergeCell ref="D9:E9"/>
    <mergeCell ref="F9:G9"/>
    <mergeCell ref="H9:I9"/>
    <mergeCell ref="J9:K9"/>
    <mergeCell ref="L9:M9"/>
    <mergeCell ref="B41:B44"/>
    <mergeCell ref="C18:C19"/>
    <mergeCell ref="D18:E18"/>
    <mergeCell ref="F18:G18"/>
    <mergeCell ref="H18:I18"/>
    <mergeCell ref="C26:J26"/>
    <mergeCell ref="C33:J33"/>
  </mergeCell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167DA-B21F-4671-A1D7-B03B86872932}">
  <dimension ref="A3:BQ68"/>
  <sheetViews>
    <sheetView topLeftCell="A45" zoomScale="113" zoomScaleNormal="70" workbookViewId="0">
      <selection activeCell="G64" sqref="G64"/>
    </sheetView>
  </sheetViews>
  <sheetFormatPr defaultRowHeight="18" x14ac:dyDescent="0.3"/>
  <cols>
    <col min="1" max="1" width="8.88671875" style="3"/>
    <col min="2" max="2" width="11.109375" style="3" customWidth="1"/>
    <col min="3" max="17" width="7.77734375" style="3" customWidth="1"/>
    <col min="18" max="16384" width="8.88671875" style="3"/>
  </cols>
  <sheetData>
    <row r="3" spans="3:69" x14ac:dyDescent="0.3">
      <c r="C3" s="1" t="s">
        <v>0</v>
      </c>
      <c r="D3" s="2">
        <v>1000</v>
      </c>
    </row>
    <row r="4" spans="3:69" x14ac:dyDescent="0.3">
      <c r="C4" s="1" t="s">
        <v>1</v>
      </c>
      <c r="D4" s="11">
        <f>100*2.20462</f>
        <v>220.46199999999999</v>
      </c>
      <c r="L4" s="3" t="s">
        <v>8</v>
      </c>
      <c r="M4" s="3" t="s">
        <v>7</v>
      </c>
      <c r="T4" s="3" t="s">
        <v>8</v>
      </c>
      <c r="U4" s="3" t="s">
        <v>7</v>
      </c>
      <c r="AB4" s="3" t="s">
        <v>8</v>
      </c>
      <c r="AC4" s="3" t="s">
        <v>7</v>
      </c>
      <c r="AJ4" s="3" t="s">
        <v>8</v>
      </c>
      <c r="AK4" s="3" t="s">
        <v>7</v>
      </c>
      <c r="AR4" s="3" t="s">
        <v>8</v>
      </c>
      <c r="AS4" s="3" t="s">
        <v>7</v>
      </c>
      <c r="AZ4" s="3" t="s">
        <v>8</v>
      </c>
      <c r="BA4" s="3" t="s">
        <v>7</v>
      </c>
      <c r="BH4" s="3" t="s">
        <v>8</v>
      </c>
      <c r="BI4" s="3" t="s">
        <v>7</v>
      </c>
      <c r="BP4" s="3" t="s">
        <v>8</v>
      </c>
      <c r="BQ4" s="3" t="s">
        <v>7</v>
      </c>
    </row>
    <row r="5" spans="3:69" x14ac:dyDescent="0.3">
      <c r="C5" s="1" t="s">
        <v>13</v>
      </c>
      <c r="D5" s="2">
        <v>0.4</v>
      </c>
      <c r="L5" s="3">
        <f>$H$14*(I11-K11)/(M11-K11)</f>
        <v>2464.8584347826086</v>
      </c>
      <c r="M5" s="3">
        <f>$H$14*(I11-M11)/(K11-M11)</f>
        <v>-1244.3964347826081</v>
      </c>
      <c r="T5" s="3">
        <f>P$14*(Q11-S11)/(U11-S11)</f>
        <v>1637.124284893267</v>
      </c>
      <c r="U5" s="3">
        <f>$H$14*(Q11-U11)/(S11-U11)</f>
        <v>-532.32116612800689</v>
      </c>
      <c r="AB5" s="3">
        <f>X$14*(Y11-AA11)/(AC11-AA11)</f>
        <v>1190.7476510807608</v>
      </c>
      <c r="AC5" s="3">
        <f>$H$14*(Y11-AC11)/(AA11-AC11)</f>
        <v>-414.95920603478481</v>
      </c>
      <c r="AJ5" s="3">
        <f>AF$14*(AG11-AI11)/(AK11-AI11)</f>
        <v>774.98437412388466</v>
      </c>
      <c r="AK5" s="3">
        <f>$H$14*(AG11-AK11)/(AI11-AK11)</f>
        <v>-167.23241978764773</v>
      </c>
      <c r="AR5" s="3">
        <f>AN$14*(AO11-AQ11)/(AS11-AQ11)</f>
        <v>716.50149999999974</v>
      </c>
      <c r="AS5" s="3">
        <f>$H$14*(AO11-AS11)/(AQ11-AS11)</f>
        <v>-329.66545353240781</v>
      </c>
      <c r="AZ5" s="3">
        <f>AV$14*(AW11-AY11)/(BA11-AY11)</f>
        <v>491.13606333327658</v>
      </c>
      <c r="BA5" s="3">
        <f>$H$14*(AW11-BA11)/(AY11-BA11)</f>
        <v>31.650492908927873</v>
      </c>
      <c r="BH5" s="3">
        <f>BD$14*(BE11-BG11)/(BI11-BG11)</f>
        <v>158.01348277396522</v>
      </c>
      <c r="BI5" s="3">
        <f>$H$14*(BE11-BI11)/(BG11-BI11)</f>
        <v>812.01095163694208</v>
      </c>
      <c r="BP5" s="3">
        <f>BL$14*(BM11-BO11)/(BQ11-BO11)</f>
        <v>1432.3984050136139</v>
      </c>
      <c r="BQ5" s="3">
        <f>$H$14*(BM11-BQ11)/(BO11-BQ11)</f>
        <v>-2602.8275186609662</v>
      </c>
    </row>
    <row r="6" spans="3:69" x14ac:dyDescent="0.3">
      <c r="C6" s="1" t="s">
        <v>14</v>
      </c>
      <c r="D6" s="2">
        <v>0.05</v>
      </c>
      <c r="L6" s="3">
        <f>$H$14*(I12-K12)/(M12-K12)</f>
        <v>1154.8575632183909</v>
      </c>
      <c r="M6" s="3">
        <f>$H$14*(I12-M12)/(K12-M12)</f>
        <v>65.604436781609195</v>
      </c>
      <c r="T6" s="3">
        <f t="shared" ref="T6:T7" si="0">P$14*(Q12-S12)/(U12-S12)</f>
        <v>837.72420811934444</v>
      </c>
      <c r="U6" s="3">
        <f>$H$14*(Q12-U12)/(S12-U12)</f>
        <v>323.55459755118017</v>
      </c>
      <c r="AB6" s="3">
        <f t="shared" ref="AB6:AB7" si="1">X$14*(Y12-AA12)/(AC12-AA12)</f>
        <v>555.03965347981114</v>
      </c>
      <c r="AC6" s="3">
        <f>$H$14*(Y12-AC12)/(AA12-AC12)</f>
        <v>458.14798773451071</v>
      </c>
      <c r="AJ6" s="3">
        <f t="shared" ref="AJ6:AJ7" si="2">AF$14*(AG12-AI12)/(AK12-AI12)</f>
        <v>383.47564344504826</v>
      </c>
      <c r="AK6" s="3">
        <f>$H$14*(AG12-AK12)/(AI12-AK12)</f>
        <v>533.80685145618554</v>
      </c>
      <c r="AR6" s="3">
        <f t="shared" ref="AR6:AR7" si="3">AN$14*(AO12-AQ12)/(AS12-AQ12)</f>
        <v>305.94228447302453</v>
      </c>
      <c r="AS6" s="3">
        <f>$H$14*(AO12-AS12)/(AQ12-AS12)</f>
        <v>558.56591972932745</v>
      </c>
      <c r="AZ6" s="3">
        <f t="shared" ref="AZ6:AZ7" si="4">AV$14*(AW12-AY12)/(BA12-AY12)</f>
        <v>258.52768160502472</v>
      </c>
      <c r="BA6" s="3">
        <f>$H$14*(AW12-BA12)/(AY12-BA12)</f>
        <v>594.68697401687621</v>
      </c>
      <c r="BH6" s="3">
        <f t="shared" ref="BH6:BH7" si="5">BD$14*(BE12-BG12)/(BI12-BG12)</f>
        <v>235.95586744970373</v>
      </c>
      <c r="BI6" s="3">
        <f>$H$14*(BE12-BI12)/(BG12-BI12)</f>
        <v>610.53669656807335</v>
      </c>
      <c r="BP6" s="3">
        <f t="shared" ref="BP6:BP7" si="6">BL$14*(BM12-BO12)/(BQ12-BO12)</f>
        <v>273.87185552358335</v>
      </c>
      <c r="BQ6" s="3">
        <f>$H$14*(BM12-BQ12)/(BO12-BQ12)</f>
        <v>489.4563028318334</v>
      </c>
    </row>
    <row r="7" spans="3:69" x14ac:dyDescent="0.3">
      <c r="L7" s="3">
        <f>$H$14*(I13-K13)/(M13-K13)</f>
        <v>684.07599999999991</v>
      </c>
      <c r="M7" s="3">
        <f>$H$14*(I13-M13)/(K13-M13)</f>
        <v>536.38599999999997</v>
      </c>
      <c r="T7" s="3">
        <f t="shared" si="0"/>
        <v>498.58478160919526</v>
      </c>
      <c r="U7" s="3">
        <f>$H$14*(Q13-U13)/(S13-U13)</f>
        <v>686.65340638477471</v>
      </c>
      <c r="AB7" s="3">
        <f t="shared" si="1"/>
        <v>367.21683600680319</v>
      </c>
      <c r="AC7" s="3">
        <f>$H$14*(Y13-AC13)/(AA13-AC13)</f>
        <v>716.11147680271165</v>
      </c>
      <c r="AJ7" s="3">
        <f t="shared" si="2"/>
        <v>303.84674906969178</v>
      </c>
      <c r="AK7" s="3">
        <f>$H$14*(AG13-AK13)/(AI13-AK13)</f>
        <v>676.39111001425306</v>
      </c>
      <c r="AR7" s="3">
        <f t="shared" si="3"/>
        <v>261.55750441605414</v>
      </c>
      <c r="AS7" s="3">
        <f>$H$14*(AO13-AS13)/(AQ13-AS13)</f>
        <v>654.5909330549207</v>
      </c>
      <c r="AZ7" s="3">
        <f t="shared" si="4"/>
        <v>244.84483562100991</v>
      </c>
      <c r="BA7" s="3">
        <f>$H$14*(AW13-BA13)/(AY13-BA13)</f>
        <v>627.80676702322603</v>
      </c>
      <c r="BH7" s="3">
        <f t="shared" si="5"/>
        <v>237.61421605982582</v>
      </c>
      <c r="BI7" s="3">
        <f>$H$14*(BE13-BI13)/(BG13-BI13)</f>
        <v>606.25001029001237</v>
      </c>
      <c r="BP7" s="3">
        <f t="shared" si="6"/>
        <v>167.16546280739638</v>
      </c>
      <c r="BQ7" s="3">
        <f>$H$14*(BM13-BQ13)/(BO13-BQ13)</f>
        <v>774.27191796932789</v>
      </c>
    </row>
    <row r="8" spans="3:69" x14ac:dyDescent="0.3">
      <c r="K8" s="3">
        <f>SUM(L8:M8)</f>
        <v>1220.462</v>
      </c>
      <c r="L8" s="3">
        <f>AVERAGE(L6:L7)</f>
        <v>919.46678160919532</v>
      </c>
      <c r="M8" s="3">
        <f>AVERAGE(M6:M7)</f>
        <v>300.99521839080455</v>
      </c>
      <c r="T8" s="3">
        <f>AVERAGE(T6:T7)</f>
        <v>668.15449486426985</v>
      </c>
      <c r="U8" s="3">
        <f>AVERAGE(U5:U7)</f>
        <v>159.29561260264933</v>
      </c>
      <c r="AB8" s="3">
        <f>AVERAGE(AB6:AB7)</f>
        <v>461.12824474330716</v>
      </c>
      <c r="AC8" s="3">
        <f>AVERAGE(AC5:AC7)</f>
        <v>253.10008616747919</v>
      </c>
      <c r="AJ8" s="3">
        <f>AVERAGE(AJ6:AJ7)</f>
        <v>343.66119625737002</v>
      </c>
      <c r="AK8" s="3">
        <f>AVERAGE(AK5:AK7)</f>
        <v>347.65518056093032</v>
      </c>
      <c r="AR8" s="3">
        <f>AVERAGE(AR6:AR7)</f>
        <v>283.74989444453934</v>
      </c>
      <c r="AS8" s="3">
        <f>AVERAGE(AS5:AS7)</f>
        <v>294.49713308394678</v>
      </c>
      <c r="AZ8" s="3">
        <f>AVERAGE(AZ6:AZ7)</f>
        <v>251.68625861301732</v>
      </c>
      <c r="BA8" s="3">
        <f>AVERAGE(BA5:BA7)</f>
        <v>418.04807798300999</v>
      </c>
      <c r="BH8" s="3">
        <f>AVERAGE(BH6:BH7)</f>
        <v>236.78504175476479</v>
      </c>
      <c r="BI8" s="3">
        <f>AVERAGE(BI5:BI7)</f>
        <v>676.26588616500919</v>
      </c>
      <c r="BP8" s="3">
        <f>AVERAGE(BP6:BP7)</f>
        <v>220.51865916548985</v>
      </c>
      <c r="BQ8" s="3">
        <f>AVERAGE(BQ5:BQ7)</f>
        <v>-446.36643261993498</v>
      </c>
    </row>
    <row r="9" spans="3:69" x14ac:dyDescent="0.3">
      <c r="C9" s="29" t="s">
        <v>2</v>
      </c>
      <c r="D9" s="31" t="s">
        <v>0</v>
      </c>
      <c r="E9" s="32"/>
      <c r="F9" s="31" t="s">
        <v>1</v>
      </c>
      <c r="G9" s="32"/>
      <c r="H9" s="31" t="s">
        <v>5</v>
      </c>
      <c r="I9" s="32"/>
      <c r="J9" s="31" t="s">
        <v>7</v>
      </c>
      <c r="K9" s="32"/>
      <c r="L9" s="31" t="s">
        <v>8</v>
      </c>
      <c r="M9" s="32"/>
      <c r="N9" s="31" t="s">
        <v>1</v>
      </c>
      <c r="O9" s="32"/>
      <c r="P9" s="31" t="s">
        <v>5</v>
      </c>
      <c r="Q9" s="32"/>
      <c r="R9" s="31" t="s">
        <v>7</v>
      </c>
      <c r="S9" s="32"/>
      <c r="T9" s="31" t="s">
        <v>8</v>
      </c>
      <c r="U9" s="32"/>
      <c r="V9" s="31" t="s">
        <v>1</v>
      </c>
      <c r="W9" s="32"/>
      <c r="X9" s="31" t="s">
        <v>5</v>
      </c>
      <c r="Y9" s="32"/>
      <c r="Z9" s="31" t="s">
        <v>7</v>
      </c>
      <c r="AA9" s="32"/>
      <c r="AB9" s="31" t="s">
        <v>8</v>
      </c>
      <c r="AC9" s="32"/>
      <c r="AD9" s="31" t="s">
        <v>1</v>
      </c>
      <c r="AE9" s="32"/>
      <c r="AF9" s="31" t="s">
        <v>5</v>
      </c>
      <c r="AG9" s="32"/>
      <c r="AH9" s="31" t="s">
        <v>7</v>
      </c>
      <c r="AI9" s="32"/>
      <c r="AJ9" s="31" t="s">
        <v>8</v>
      </c>
      <c r="AK9" s="32"/>
      <c r="AL9" s="31" t="s">
        <v>1</v>
      </c>
      <c r="AM9" s="32"/>
      <c r="AN9" s="31" t="s">
        <v>5</v>
      </c>
      <c r="AO9" s="32"/>
      <c r="AP9" s="31" t="s">
        <v>7</v>
      </c>
      <c r="AQ9" s="32"/>
      <c r="AR9" s="31" t="s">
        <v>8</v>
      </c>
      <c r="AS9" s="32"/>
      <c r="AT9" s="31" t="s">
        <v>1</v>
      </c>
      <c r="AU9" s="32"/>
      <c r="AV9" s="31" t="s">
        <v>5</v>
      </c>
      <c r="AW9" s="32"/>
      <c r="AX9" s="31" t="s">
        <v>7</v>
      </c>
      <c r="AY9" s="32"/>
      <c r="AZ9" s="31" t="s">
        <v>8</v>
      </c>
      <c r="BA9" s="32"/>
      <c r="BB9" s="31" t="s">
        <v>1</v>
      </c>
      <c r="BC9" s="32"/>
      <c r="BD9" s="31" t="s">
        <v>5</v>
      </c>
      <c r="BE9" s="32"/>
      <c r="BF9" s="31" t="s">
        <v>7</v>
      </c>
      <c r="BG9" s="32"/>
      <c r="BH9" s="31" t="s">
        <v>8</v>
      </c>
      <c r="BI9" s="32"/>
      <c r="BJ9" s="31" t="s">
        <v>1</v>
      </c>
      <c r="BK9" s="32"/>
      <c r="BL9" s="31" t="s">
        <v>5</v>
      </c>
      <c r="BM9" s="32"/>
      <c r="BN9" s="31" t="s">
        <v>7</v>
      </c>
      <c r="BO9" s="32"/>
      <c r="BP9" s="31" t="s">
        <v>8</v>
      </c>
      <c r="BQ9" s="32"/>
    </row>
    <row r="10" spans="3:69" x14ac:dyDescent="0.3">
      <c r="C10" s="30"/>
      <c r="D10" s="14" t="s">
        <v>11</v>
      </c>
      <c r="E10" s="14" t="s">
        <v>12</v>
      </c>
      <c r="F10" s="14" t="s">
        <v>11</v>
      </c>
      <c r="G10" s="14" t="s">
        <v>12</v>
      </c>
      <c r="H10" s="14" t="s">
        <v>11</v>
      </c>
      <c r="I10" s="14" t="s">
        <v>12</v>
      </c>
      <c r="J10" s="14" t="s">
        <v>11</v>
      </c>
      <c r="K10" s="14" t="s">
        <v>12</v>
      </c>
      <c r="L10" s="14" t="s">
        <v>11</v>
      </c>
      <c r="M10" s="14" t="s">
        <v>12</v>
      </c>
      <c r="N10" s="14" t="s">
        <v>11</v>
      </c>
      <c r="O10" s="14" t="s">
        <v>12</v>
      </c>
      <c r="P10" s="14" t="s">
        <v>11</v>
      </c>
      <c r="Q10" s="14" t="s">
        <v>12</v>
      </c>
      <c r="R10" s="14" t="s">
        <v>11</v>
      </c>
      <c r="S10" s="14" t="s">
        <v>12</v>
      </c>
      <c r="T10" s="14" t="s">
        <v>11</v>
      </c>
      <c r="U10" s="14" t="s">
        <v>12</v>
      </c>
      <c r="V10" s="14" t="s">
        <v>11</v>
      </c>
      <c r="W10" s="14" t="s">
        <v>12</v>
      </c>
      <c r="X10" s="14" t="s">
        <v>11</v>
      </c>
      <c r="Y10" s="14" t="s">
        <v>12</v>
      </c>
      <c r="Z10" s="14" t="s">
        <v>11</v>
      </c>
      <c r="AA10" s="14" t="s">
        <v>12</v>
      </c>
      <c r="AB10" s="14" t="s">
        <v>11</v>
      </c>
      <c r="AC10" s="14" t="s">
        <v>12</v>
      </c>
      <c r="AD10" s="14" t="s">
        <v>11</v>
      </c>
      <c r="AE10" s="14" t="s">
        <v>12</v>
      </c>
      <c r="AF10" s="14" t="s">
        <v>11</v>
      </c>
      <c r="AG10" s="14" t="s">
        <v>12</v>
      </c>
      <c r="AH10" s="14" t="s">
        <v>11</v>
      </c>
      <c r="AI10" s="14" t="s">
        <v>12</v>
      </c>
      <c r="AJ10" s="14" t="s">
        <v>11</v>
      </c>
      <c r="AK10" s="14" t="s">
        <v>12</v>
      </c>
      <c r="AL10" s="14" t="s">
        <v>11</v>
      </c>
      <c r="AM10" s="14" t="s">
        <v>12</v>
      </c>
      <c r="AN10" s="14" t="s">
        <v>11</v>
      </c>
      <c r="AO10" s="14" t="s">
        <v>12</v>
      </c>
      <c r="AP10" s="14" t="s">
        <v>11</v>
      </c>
      <c r="AQ10" s="14" t="s">
        <v>12</v>
      </c>
      <c r="AR10" s="14" t="s">
        <v>11</v>
      </c>
      <c r="AS10" s="14" t="s">
        <v>12</v>
      </c>
      <c r="AT10" s="14" t="s">
        <v>11</v>
      </c>
      <c r="AU10" s="14" t="s">
        <v>12</v>
      </c>
      <c r="AV10" s="14" t="s">
        <v>11</v>
      </c>
      <c r="AW10" s="14" t="s">
        <v>12</v>
      </c>
      <c r="AX10" s="14" t="s">
        <v>11</v>
      </c>
      <c r="AY10" s="14" t="s">
        <v>12</v>
      </c>
      <c r="AZ10" s="14" t="s">
        <v>11</v>
      </c>
      <c r="BA10" s="14" t="s">
        <v>12</v>
      </c>
      <c r="BB10" s="14" t="s">
        <v>11</v>
      </c>
      <c r="BC10" s="14" t="s">
        <v>12</v>
      </c>
      <c r="BD10" s="14" t="s">
        <v>11</v>
      </c>
      <c r="BE10" s="14" t="s">
        <v>12</v>
      </c>
      <c r="BF10" s="14" t="s">
        <v>11</v>
      </c>
      <c r="BG10" s="14" t="s">
        <v>12</v>
      </c>
      <c r="BH10" s="14" t="s">
        <v>11</v>
      </c>
      <c r="BI10" s="14" t="s">
        <v>12</v>
      </c>
      <c r="BJ10" s="14" t="s">
        <v>11</v>
      </c>
      <c r="BK10" s="14" t="s">
        <v>12</v>
      </c>
      <c r="BL10" s="14" t="s">
        <v>11</v>
      </c>
      <c r="BM10" s="14" t="s">
        <v>12</v>
      </c>
      <c r="BN10" s="14" t="s">
        <v>11</v>
      </c>
      <c r="BO10" s="14" t="s">
        <v>12</v>
      </c>
      <c r="BP10" s="14" t="s">
        <v>11</v>
      </c>
      <c r="BQ10" s="14" t="s">
        <v>12</v>
      </c>
    </row>
    <row r="11" spans="3:69" x14ac:dyDescent="0.3">
      <c r="C11" s="1" t="s">
        <v>15</v>
      </c>
      <c r="D11" s="7">
        <f>E11*D$14</f>
        <v>400</v>
      </c>
      <c r="E11" s="17">
        <f>D5</f>
        <v>0.4</v>
      </c>
      <c r="F11" s="17">
        <v>0</v>
      </c>
      <c r="G11" s="17">
        <v>0</v>
      </c>
      <c r="H11" s="7">
        <f t="shared" ref="H11:H13" si="7">D11+F11</f>
        <v>400</v>
      </c>
      <c r="I11" s="8">
        <f>H11/$H$14</f>
        <v>0.32774473928725351</v>
      </c>
      <c r="J11" s="11">
        <f>$J$14*K11</f>
        <v>168.55732229885064</v>
      </c>
      <c r="K11" s="4">
        <v>0.56000000000000005</v>
      </c>
      <c r="L11" s="11">
        <f>M11*$L$14</f>
        <v>409.16271781609191</v>
      </c>
      <c r="M11" s="4">
        <v>0.44500000000000001</v>
      </c>
      <c r="N11" s="17">
        <v>0</v>
      </c>
      <c r="O11" s="17">
        <v>0</v>
      </c>
      <c r="P11" s="16">
        <f t="shared" ref="P11:P13" si="8">L11+N11</f>
        <v>409.16271781609191</v>
      </c>
      <c r="Q11" s="8">
        <f>P11/P$14</f>
        <v>0.35893708836660132</v>
      </c>
      <c r="R11" s="11">
        <f>R$14*S11</f>
        <v>264.19360057715829</v>
      </c>
      <c r="S11" s="4">
        <v>0.56000000000000005</v>
      </c>
      <c r="T11" s="11">
        <f>U11*T$14</f>
        <v>280.6248878429933</v>
      </c>
      <c r="U11" s="4">
        <v>0.42</v>
      </c>
      <c r="V11" s="17">
        <v>0</v>
      </c>
      <c r="W11" s="17">
        <v>0</v>
      </c>
      <c r="X11" s="16">
        <f t="shared" ref="X11:X13" si="9">T11+V11</f>
        <v>280.6248878429933</v>
      </c>
      <c r="Y11" s="8">
        <f>X11/X$14</f>
        <v>0.3157997735410672</v>
      </c>
      <c r="Z11" s="11">
        <f>Z$14*AA11</f>
        <v>209.46924255927172</v>
      </c>
      <c r="AA11" s="4">
        <v>0.49</v>
      </c>
      <c r="AB11" s="11">
        <f>AC11*AB$14</f>
        <v>166.00616810759058</v>
      </c>
      <c r="AC11" s="4">
        <v>0.36</v>
      </c>
      <c r="AD11" s="17">
        <v>0</v>
      </c>
      <c r="AE11" s="17">
        <v>0</v>
      </c>
      <c r="AF11" s="16">
        <f t="shared" ref="AF11:AF13" si="10">AB11+AD11</f>
        <v>166.00616810759058</v>
      </c>
      <c r="AG11" s="8">
        <f>AF11/AF$14</f>
        <v>0.24355713625289627</v>
      </c>
      <c r="AH11" s="11">
        <f>AH$14*AI11</f>
        <v>128.41303842465612</v>
      </c>
      <c r="AI11" s="4">
        <v>0.38</v>
      </c>
      <c r="AJ11" s="11">
        <f>AK11*AJ$14</f>
        <v>89.351911026916213</v>
      </c>
      <c r="AK11" s="4">
        <v>0.26</v>
      </c>
      <c r="AL11" s="17">
        <v>0</v>
      </c>
      <c r="AM11" s="17">
        <v>0</v>
      </c>
      <c r="AN11" s="16">
        <f t="shared" ref="AN11:AN13" si="11">AJ11+AL11</f>
        <v>89.351911026916213</v>
      </c>
      <c r="AO11" s="8">
        <f>AN11/AN$14</f>
        <v>0.15839077637600135</v>
      </c>
      <c r="AP11" s="11">
        <f>AP$14*AQ11</f>
        <v>72.897058471335967</v>
      </c>
      <c r="AQ11" s="4">
        <v>0.26</v>
      </c>
      <c r="AR11" s="11">
        <f>AS11*AR$14</f>
        <v>51.074981000017075</v>
      </c>
      <c r="AS11" s="4">
        <v>0.18</v>
      </c>
      <c r="AT11" s="17">
        <v>0</v>
      </c>
      <c r="AU11" s="17">
        <v>0</v>
      </c>
      <c r="AV11" s="16">
        <f t="shared" ref="AV11:AV13" si="12">AR11+AT11</f>
        <v>51.074981000017075</v>
      </c>
      <c r="AW11" s="8">
        <f>AV11/AV$14</f>
        <v>0.10129666031834371</v>
      </c>
      <c r="AX11" s="11">
        <f>AX$14*AY11</f>
        <v>37.8788453747283</v>
      </c>
      <c r="AY11" s="4">
        <v>0.15</v>
      </c>
      <c r="AZ11" s="11">
        <f>BA11*AZ$14</f>
        <v>25.168625861301734</v>
      </c>
      <c r="BA11" s="4">
        <v>0.1</v>
      </c>
      <c r="BB11" s="17">
        <v>0</v>
      </c>
      <c r="BC11" s="17">
        <v>0</v>
      </c>
      <c r="BD11" s="16">
        <f t="shared" ref="BD11:BD13" si="13">AZ11+BB11</f>
        <v>25.168625861301734</v>
      </c>
      <c r="BE11" s="8">
        <f>BD11/BD$14</f>
        <v>5.3306615882132209E-2</v>
      </c>
      <c r="BF11" s="11">
        <f>BF$14*BG11</f>
        <v>14.121793011495152</v>
      </c>
      <c r="BG11" s="4">
        <v>0.06</v>
      </c>
      <c r="BH11" s="11">
        <f>BI11*BH$14</f>
        <v>9.4714016701905912</v>
      </c>
      <c r="BI11" s="4">
        <v>0.04</v>
      </c>
      <c r="BJ11" s="17">
        <v>0</v>
      </c>
      <c r="BK11" s="17">
        <v>0</v>
      </c>
      <c r="BL11" s="16">
        <f t="shared" ref="BL11:BL13" si="14">BH11+BJ11</f>
        <v>9.4714016701905912</v>
      </c>
      <c r="BM11" s="8">
        <f>BL11/BL$14</f>
        <v>2.0713970360185262E-2</v>
      </c>
      <c r="BN11" s="11">
        <f>BN$14*BO11</f>
        <v>56.814811821425984</v>
      </c>
      <c r="BO11" s="4">
        <v>0.24</v>
      </c>
      <c r="BP11" s="11">
        <f>BQ11*BP$14</f>
        <v>37.48817205813328</v>
      </c>
      <c r="BQ11" s="4">
        <v>0.17</v>
      </c>
    </row>
    <row r="12" spans="3:69" x14ac:dyDescent="0.3">
      <c r="C12" s="1" t="s">
        <v>3</v>
      </c>
      <c r="D12" s="7">
        <f t="shared" ref="D12:D13" si="15">E12*D$14</f>
        <v>600</v>
      </c>
      <c r="E12" s="17">
        <f>1-E11</f>
        <v>0.6</v>
      </c>
      <c r="F12" s="17">
        <v>0</v>
      </c>
      <c r="G12" s="17">
        <v>0</v>
      </c>
      <c r="H12" s="7">
        <f t="shared" si="7"/>
        <v>600</v>
      </c>
      <c r="I12" s="8">
        <f t="shared" ref="I12:I13" si="16">H12/$H$14</f>
        <v>0.49161710893088029</v>
      </c>
      <c r="J12" s="11">
        <f t="shared" ref="J12:J13" si="17">$J$14*K12</f>
        <v>24.079617471264374</v>
      </c>
      <c r="K12" s="4">
        <v>0.08</v>
      </c>
      <c r="L12" s="11">
        <f t="shared" ref="L12:L13" si="18">M12*$L$14</f>
        <v>473.52539252873561</v>
      </c>
      <c r="M12" s="4">
        <v>0.51500000000000001</v>
      </c>
      <c r="N12" s="17">
        <v>0</v>
      </c>
      <c r="O12" s="17">
        <v>0</v>
      </c>
      <c r="P12" s="16">
        <f t="shared" si="8"/>
        <v>473.52539252873561</v>
      </c>
      <c r="Q12" s="8">
        <f t="shared" ref="Q12:Q13" si="19">P12/P$14</f>
        <v>0.41539910226696558</v>
      </c>
      <c r="R12" s="11">
        <f t="shared" ref="R12:R13" si="20">R$14*S12</f>
        <v>33.024200072144787</v>
      </c>
      <c r="S12" s="4">
        <v>7.0000000000000007E-2</v>
      </c>
      <c r="T12" s="11">
        <f t="shared" ref="T12:T13" si="21">U12*T$14</f>
        <v>360.80342722670576</v>
      </c>
      <c r="U12" s="4">
        <v>0.54</v>
      </c>
      <c r="V12" s="17">
        <v>0</v>
      </c>
      <c r="W12" s="17">
        <v>0</v>
      </c>
      <c r="X12" s="16">
        <f t="shared" si="9"/>
        <v>360.80342722670576</v>
      </c>
      <c r="Y12" s="8">
        <f t="shared" ref="Y12:Y13" si="22">X12/X$14</f>
        <v>0.40602828026708648</v>
      </c>
      <c r="Z12" s="11">
        <f t="shared" ref="Z12:Z13" si="23">Z$14*AA12</f>
        <v>21.374412506048134</v>
      </c>
      <c r="AA12" s="4">
        <v>0.05</v>
      </c>
      <c r="AB12" s="11">
        <f t="shared" ref="AB12:AB13" si="24">AC12*AB$14</f>
        <v>285.89951174085041</v>
      </c>
      <c r="AC12" s="4">
        <v>0.62</v>
      </c>
      <c r="AD12" s="17">
        <v>0</v>
      </c>
      <c r="AE12" s="17">
        <v>0</v>
      </c>
      <c r="AF12" s="16">
        <f t="shared" si="10"/>
        <v>285.89951174085041</v>
      </c>
      <c r="AG12" s="8">
        <f t="shared" ref="AG12:AG13" si="25">AF12/AF$14</f>
        <v>0.41945951243554352</v>
      </c>
      <c r="AH12" s="11">
        <f t="shared" ref="AH12:AH13" si="26">AH$14*AI12</f>
        <v>6.7585809697187429</v>
      </c>
      <c r="AI12" s="4">
        <v>0.02</v>
      </c>
      <c r="AJ12" s="11">
        <f t="shared" ref="AJ12:AJ13" si="27">AK12*AJ$14</f>
        <v>250.87267326788012</v>
      </c>
      <c r="AK12" s="4">
        <v>0.73</v>
      </c>
      <c r="AL12" s="17">
        <v>0</v>
      </c>
      <c r="AM12" s="17">
        <v>0</v>
      </c>
      <c r="AN12" s="16">
        <f t="shared" si="11"/>
        <v>250.87267326788012</v>
      </c>
      <c r="AO12" s="8">
        <f t="shared" ref="AO12:AO13" si="28">AN12/AN$14</f>
        <v>0.44471256444031149</v>
      </c>
      <c r="AP12" s="11">
        <f t="shared" ref="AP12:AP13" si="29">AP$14*AQ12</f>
        <v>0</v>
      </c>
      <c r="AQ12" s="4">
        <v>0</v>
      </c>
      <c r="AR12" s="11">
        <f t="shared" ref="AR12:AR13" si="30">AS12*AR$14</f>
        <v>232.67491344452225</v>
      </c>
      <c r="AS12" s="4">
        <v>0.82</v>
      </c>
      <c r="AT12" s="17">
        <v>0</v>
      </c>
      <c r="AU12" s="17">
        <v>0</v>
      </c>
      <c r="AV12" s="16">
        <f t="shared" si="12"/>
        <v>232.67491344452225</v>
      </c>
      <c r="AW12" s="8">
        <f t="shared" ref="AW12:AW13" si="31">AV12/AV$14</f>
        <v>0.4614625636724547</v>
      </c>
      <c r="AX12" s="11">
        <f t="shared" ref="AX12:AX13" si="32">AX$14*AY12</f>
        <v>0</v>
      </c>
      <c r="AY12" s="4">
        <v>0</v>
      </c>
      <c r="AZ12" s="11">
        <f t="shared" ref="AZ12:AZ13" si="33">BA12*AZ$14</f>
        <v>226.51763275171558</v>
      </c>
      <c r="BA12" s="4">
        <v>0.9</v>
      </c>
      <c r="BB12" s="17">
        <v>0</v>
      </c>
      <c r="BC12" s="17">
        <v>0</v>
      </c>
      <c r="BD12" s="16">
        <f t="shared" si="13"/>
        <v>226.51763275171558</v>
      </c>
      <c r="BE12" s="8">
        <f t="shared" ref="BE12:BE13" si="34">BD12/BD$14</f>
        <v>0.47975954293918982</v>
      </c>
      <c r="BF12" s="11">
        <f t="shared" ref="BF12:BF13" si="35">BF$14*BG12</f>
        <v>0</v>
      </c>
      <c r="BG12" s="4">
        <v>0</v>
      </c>
      <c r="BH12" s="11">
        <f t="shared" ref="BH12:BH13" si="36">BI12*BH$14</f>
        <v>227.31364008457419</v>
      </c>
      <c r="BI12" s="4">
        <v>0.96</v>
      </c>
      <c r="BJ12" s="17">
        <v>0</v>
      </c>
      <c r="BK12" s="17">
        <v>0</v>
      </c>
      <c r="BL12" s="16">
        <f t="shared" si="14"/>
        <v>227.31364008457419</v>
      </c>
      <c r="BM12" s="8">
        <f t="shared" ref="BM12:BM13" si="37">BL12/BL$14</f>
        <v>0.49713528864444634</v>
      </c>
      <c r="BN12" s="11">
        <f t="shared" ref="BN12:BN13" si="38">BN$14*BO12</f>
        <v>0</v>
      </c>
      <c r="BO12" s="4">
        <v>0</v>
      </c>
      <c r="BP12" s="11">
        <f t="shared" ref="BP12:BP13" si="39">BQ12*BP$14</f>
        <v>183.03048710735658</v>
      </c>
      <c r="BQ12" s="4">
        <v>0.83</v>
      </c>
    </row>
    <row r="13" spans="3:69" x14ac:dyDescent="0.3">
      <c r="C13" s="1" t="s">
        <v>16</v>
      </c>
      <c r="D13" s="16">
        <f t="shared" si="15"/>
        <v>0</v>
      </c>
      <c r="E13" s="17">
        <v>0</v>
      </c>
      <c r="F13" s="16">
        <f>$D$4</f>
        <v>220.46199999999999</v>
      </c>
      <c r="G13" s="17">
        <v>1</v>
      </c>
      <c r="H13" s="16">
        <f t="shared" si="7"/>
        <v>220.46199999999999</v>
      </c>
      <c r="I13" s="8">
        <f t="shared" si="16"/>
        <v>0.18063815178186621</v>
      </c>
      <c r="J13" s="11">
        <f t="shared" si="17"/>
        <v>108.35827862068967</v>
      </c>
      <c r="K13" s="3">
        <v>0.36</v>
      </c>
      <c r="L13" s="11">
        <f t="shared" si="18"/>
        <v>36.778671264367816</v>
      </c>
      <c r="M13" s="3">
        <v>0.04</v>
      </c>
      <c r="N13" s="16">
        <f>$D$4</f>
        <v>220.46199999999999</v>
      </c>
      <c r="O13" s="17">
        <v>1</v>
      </c>
      <c r="P13" s="16">
        <f t="shared" si="8"/>
        <v>257.24067126436779</v>
      </c>
      <c r="Q13" s="8">
        <f t="shared" si="19"/>
        <v>0.2256638093664331</v>
      </c>
      <c r="R13" s="11">
        <f t="shared" si="20"/>
        <v>174.55648609562243</v>
      </c>
      <c r="S13" s="3">
        <v>0.37</v>
      </c>
      <c r="T13" s="11">
        <f t="shared" si="21"/>
        <v>26.726179794570793</v>
      </c>
      <c r="U13" s="4">
        <v>0.04</v>
      </c>
      <c r="V13" s="16">
        <f>$D$4</f>
        <v>220.46199999999999</v>
      </c>
      <c r="W13" s="17">
        <v>1</v>
      </c>
      <c r="X13" s="16">
        <f t="shared" si="9"/>
        <v>247.18817979457077</v>
      </c>
      <c r="Y13" s="8">
        <f t="shared" si="22"/>
        <v>0.27817194619184632</v>
      </c>
      <c r="Z13" s="11">
        <f t="shared" si="23"/>
        <v>196.64459505564284</v>
      </c>
      <c r="AA13" s="3">
        <v>0.46</v>
      </c>
      <c r="AB13" s="11">
        <f t="shared" si="24"/>
        <v>9.2225648948661441</v>
      </c>
      <c r="AC13" s="4">
        <v>0.02</v>
      </c>
      <c r="AD13" s="16">
        <f>$D$4</f>
        <v>220.46199999999999</v>
      </c>
      <c r="AE13" s="17">
        <v>1</v>
      </c>
      <c r="AF13" s="16">
        <f t="shared" si="10"/>
        <v>229.68456489486613</v>
      </c>
      <c r="AG13" s="8">
        <f t="shared" si="25"/>
        <v>0.33698335131156015</v>
      </c>
      <c r="AH13" s="11">
        <f t="shared" si="26"/>
        <v>202.75742909156227</v>
      </c>
      <c r="AI13" s="3">
        <v>0.6</v>
      </c>
      <c r="AJ13" s="11">
        <f t="shared" si="27"/>
        <v>3.4366119625737004</v>
      </c>
      <c r="AK13" s="4">
        <v>0.01</v>
      </c>
      <c r="AL13" s="16">
        <f>$D$4</f>
        <v>220.46199999999999</v>
      </c>
      <c r="AM13" s="17">
        <v>1</v>
      </c>
      <c r="AN13" s="16">
        <f t="shared" si="11"/>
        <v>223.89861196257368</v>
      </c>
      <c r="AO13" s="8">
        <f t="shared" si="28"/>
        <v>0.39689665918368727</v>
      </c>
      <c r="AP13" s="11">
        <f t="shared" si="29"/>
        <v>207.47624334149467</v>
      </c>
      <c r="AQ13" s="3">
        <v>0.74</v>
      </c>
      <c r="AR13" s="11">
        <f t="shared" si="30"/>
        <v>0</v>
      </c>
      <c r="AS13" s="4">
        <v>0</v>
      </c>
      <c r="AT13" s="16">
        <f>$D$4</f>
        <v>220.46199999999999</v>
      </c>
      <c r="AU13" s="17">
        <v>1</v>
      </c>
      <c r="AV13" s="16">
        <f t="shared" si="12"/>
        <v>220.46199999999999</v>
      </c>
      <c r="AW13" s="8">
        <f t="shared" si="31"/>
        <v>0.43724077600920153</v>
      </c>
      <c r="AX13" s="11">
        <f t="shared" si="32"/>
        <v>214.6467904567937</v>
      </c>
      <c r="AY13" s="3">
        <v>0.85</v>
      </c>
      <c r="AZ13" s="11">
        <f t="shared" si="33"/>
        <v>0</v>
      </c>
      <c r="BA13" s="4">
        <v>0</v>
      </c>
      <c r="BB13" s="16">
        <f>$D$4</f>
        <v>220.46199999999999</v>
      </c>
      <c r="BC13" s="17">
        <v>1</v>
      </c>
      <c r="BD13" s="16">
        <f t="shared" si="13"/>
        <v>220.46199999999999</v>
      </c>
      <c r="BE13" s="8">
        <f t="shared" si="34"/>
        <v>0.46693384117867792</v>
      </c>
      <c r="BF13" s="11">
        <f t="shared" si="35"/>
        <v>221.24142384675739</v>
      </c>
      <c r="BG13" s="3">
        <v>0.94</v>
      </c>
      <c r="BH13" s="11">
        <f t="shared" si="36"/>
        <v>0</v>
      </c>
      <c r="BI13" s="4">
        <v>0</v>
      </c>
      <c r="BJ13" s="16">
        <f>$D$4</f>
        <v>220.46199999999999</v>
      </c>
      <c r="BK13" s="17">
        <v>1</v>
      </c>
      <c r="BL13" s="16">
        <f t="shared" si="14"/>
        <v>220.46199999999999</v>
      </c>
      <c r="BM13" s="8">
        <f t="shared" si="37"/>
        <v>0.48215074099536837</v>
      </c>
      <c r="BN13" s="11">
        <f t="shared" si="38"/>
        <v>179.91357076784894</v>
      </c>
      <c r="BO13" s="3">
        <v>0.76</v>
      </c>
      <c r="BP13" s="11">
        <f t="shared" si="39"/>
        <v>0</v>
      </c>
      <c r="BQ13" s="4">
        <v>0</v>
      </c>
    </row>
    <row r="14" spans="3:69" x14ac:dyDescent="0.3">
      <c r="C14" s="1" t="s">
        <v>4</v>
      </c>
      <c r="D14" s="7">
        <f>D3</f>
        <v>1000</v>
      </c>
      <c r="E14" s="17">
        <f>SUM(E11:E13)</f>
        <v>1</v>
      </c>
      <c r="F14" s="16">
        <f>SUM(F11:F13)</f>
        <v>220.46199999999999</v>
      </c>
      <c r="G14" s="17">
        <v>1</v>
      </c>
      <c r="H14" s="16">
        <f>D14+F14</f>
        <v>1220.462</v>
      </c>
      <c r="I14" s="17">
        <f>SUM(I11:I13)</f>
        <v>1</v>
      </c>
      <c r="J14" s="11">
        <f>H14-L14</f>
        <v>300.99521839080467</v>
      </c>
      <c r="K14" s="9">
        <f>SUM(K11:K13)</f>
        <v>1</v>
      </c>
      <c r="L14" s="11">
        <f>L8</f>
        <v>919.46678160919532</v>
      </c>
      <c r="M14" s="9">
        <f>SUM(M11:M13)</f>
        <v>1</v>
      </c>
      <c r="N14" s="16">
        <f>SUM(N11:N13)</f>
        <v>220.46199999999999</v>
      </c>
      <c r="O14" s="17">
        <v>1</v>
      </c>
      <c r="P14" s="16">
        <f>L14+N14</f>
        <v>1139.9287816091953</v>
      </c>
      <c r="Q14" s="17">
        <f>SUM(Q11:Q13)</f>
        <v>1</v>
      </c>
      <c r="R14" s="11">
        <f>P14-T14</f>
        <v>471.77428674492546</v>
      </c>
      <c r="S14" s="9">
        <f>SUM(S11:S13)</f>
        <v>1</v>
      </c>
      <c r="T14" s="11">
        <f>T8</f>
        <v>668.15449486426985</v>
      </c>
      <c r="U14" s="9">
        <f>SUM(U11:U13)</f>
        <v>1</v>
      </c>
      <c r="V14" s="16">
        <f>SUM(V11:V13)</f>
        <v>220.46199999999999</v>
      </c>
      <c r="W14" s="17">
        <v>1</v>
      </c>
      <c r="X14" s="16">
        <f>T14+V14</f>
        <v>888.61649486426984</v>
      </c>
      <c r="Y14" s="17">
        <f>SUM(Y11:Y13)</f>
        <v>1</v>
      </c>
      <c r="Z14" s="11">
        <f>X14-AB14</f>
        <v>427.48825012096268</v>
      </c>
      <c r="AA14" s="9">
        <f>SUM(AA11:AA13)</f>
        <v>1</v>
      </c>
      <c r="AB14" s="11">
        <f>AB8</f>
        <v>461.12824474330716</v>
      </c>
      <c r="AC14" s="9">
        <f>SUM(AC11:AC13)</f>
        <v>1</v>
      </c>
      <c r="AD14" s="16">
        <f>SUM(AD11:AD13)</f>
        <v>220.46199999999999</v>
      </c>
      <c r="AE14" s="17">
        <v>1</v>
      </c>
      <c r="AF14" s="16">
        <f>AB14+AD14</f>
        <v>681.59024474330715</v>
      </c>
      <c r="AG14" s="17">
        <f>SUM(AG11:AG13)</f>
        <v>1</v>
      </c>
      <c r="AH14" s="11">
        <f>AF14-AJ14</f>
        <v>337.92904848593713</v>
      </c>
      <c r="AI14" s="9">
        <f>SUM(AI11:AI13)</f>
        <v>1</v>
      </c>
      <c r="AJ14" s="11">
        <f>AJ8</f>
        <v>343.66119625737002</v>
      </c>
      <c r="AK14" s="9">
        <f>SUM(AK11:AK13)</f>
        <v>1</v>
      </c>
      <c r="AL14" s="16">
        <f>SUM(AL11:AL13)</f>
        <v>220.46199999999999</v>
      </c>
      <c r="AM14" s="17">
        <v>1</v>
      </c>
      <c r="AN14" s="16">
        <f>AJ14+AL14</f>
        <v>564.12319625736995</v>
      </c>
      <c r="AO14" s="17">
        <f>SUM(AO11:AO13)</f>
        <v>1.0000000000000002</v>
      </c>
      <c r="AP14" s="11">
        <f>AN14-AR14</f>
        <v>280.37330181283062</v>
      </c>
      <c r="AQ14" s="9">
        <f>SUM(AQ11:AQ13)</f>
        <v>1</v>
      </c>
      <c r="AR14" s="11">
        <f>AR8</f>
        <v>283.74989444453934</v>
      </c>
      <c r="AS14" s="9">
        <f>SUM(AS11:AS13)</f>
        <v>1</v>
      </c>
      <c r="AT14" s="16">
        <f>SUM(AT11:AT13)</f>
        <v>220.46199999999999</v>
      </c>
      <c r="AU14" s="17">
        <v>1</v>
      </c>
      <c r="AV14" s="16">
        <f>AR14+AT14</f>
        <v>504.21189444453933</v>
      </c>
      <c r="AW14" s="17">
        <f>SUM(AW11:AW13)</f>
        <v>0.99999999999999989</v>
      </c>
      <c r="AX14" s="11">
        <f>AV14-AZ14</f>
        <v>252.52563583152201</v>
      </c>
      <c r="AY14" s="9">
        <f>SUM(AY11:AY13)</f>
        <v>1</v>
      </c>
      <c r="AZ14" s="11">
        <f>AZ8</f>
        <v>251.68625861301732</v>
      </c>
      <c r="BA14" s="9">
        <f>SUM(BA11:BA13)</f>
        <v>1</v>
      </c>
      <c r="BB14" s="16">
        <f>SUM(BB11:BB13)</f>
        <v>220.46199999999999</v>
      </c>
      <c r="BC14" s="17">
        <v>1</v>
      </c>
      <c r="BD14" s="16">
        <f>AZ14+BB14</f>
        <v>472.14825861301733</v>
      </c>
      <c r="BE14" s="17">
        <f>SUM(BE11:BE13)</f>
        <v>1</v>
      </c>
      <c r="BF14" s="11">
        <f>BD14-BH14</f>
        <v>235.36321685825254</v>
      </c>
      <c r="BG14" s="9">
        <f>SUM(BG11:BG13)</f>
        <v>1</v>
      </c>
      <c r="BH14" s="11">
        <f>BH8</f>
        <v>236.78504175476479</v>
      </c>
      <c r="BI14" s="9">
        <f>SUM(BI11:BI13)</f>
        <v>1</v>
      </c>
      <c r="BJ14" s="16">
        <f>SUM(BJ11:BJ13)</f>
        <v>220.46199999999999</v>
      </c>
      <c r="BK14" s="17">
        <v>1</v>
      </c>
      <c r="BL14" s="16">
        <f>BH14+BJ14</f>
        <v>457.24704175476478</v>
      </c>
      <c r="BM14" s="17">
        <f>SUM(BM11:BM13)</f>
        <v>1</v>
      </c>
      <c r="BN14" s="11">
        <f>BL14-BP14</f>
        <v>236.72838258927493</v>
      </c>
      <c r="BO14" s="9">
        <f>SUM(BO11:BO13)</f>
        <v>1</v>
      </c>
      <c r="BP14" s="11">
        <f>BP8</f>
        <v>220.51865916548985</v>
      </c>
      <c r="BQ14" s="9">
        <f>SUM(BQ11:BQ13)</f>
        <v>1</v>
      </c>
    </row>
    <row r="15" spans="3:69" x14ac:dyDescent="0.3">
      <c r="J15" s="12">
        <f>SUM(J11:J13)</f>
        <v>300.99521839080467</v>
      </c>
      <c r="L15" s="13">
        <f>SUM(L11:L13)</f>
        <v>919.46678160919532</v>
      </c>
      <c r="M15" s="24"/>
      <c r="P15" s="6"/>
      <c r="Q15" s="6"/>
      <c r="R15" s="21">
        <f>SUM(R11:R13)</f>
        <v>471.77428674492546</v>
      </c>
      <c r="U15" s="24"/>
      <c r="AC15" s="24"/>
      <c r="AK15" s="24"/>
      <c r="AS15" s="24"/>
      <c r="BA15" s="24"/>
      <c r="BI15" s="24"/>
    </row>
    <row r="17" spans="3:17" x14ac:dyDescent="0.3">
      <c r="P17" s="6"/>
      <c r="Q17" s="6"/>
    </row>
    <row r="18" spans="3:17" x14ac:dyDescent="0.3">
      <c r="C18" s="29" t="s">
        <v>2</v>
      </c>
      <c r="D18" s="31" t="s">
        <v>5</v>
      </c>
      <c r="E18" s="32"/>
      <c r="F18" s="31" t="s">
        <v>20</v>
      </c>
      <c r="G18" s="32"/>
      <c r="H18" s="31" t="s">
        <v>21</v>
      </c>
      <c r="I18" s="32"/>
    </row>
    <row r="19" spans="3:17" x14ac:dyDescent="0.3">
      <c r="C19" s="30"/>
      <c r="D19" s="14" t="s">
        <v>11</v>
      </c>
      <c r="E19" s="14" t="s">
        <v>12</v>
      </c>
      <c r="F19" s="14" t="s">
        <v>11</v>
      </c>
      <c r="G19" s="14" t="s">
        <v>12</v>
      </c>
      <c r="H19" s="14" t="s">
        <v>11</v>
      </c>
      <c r="I19" s="14" t="s">
        <v>12</v>
      </c>
      <c r="K19" s="3" t="s">
        <v>27</v>
      </c>
    </row>
    <row r="20" spans="3:17" x14ac:dyDescent="0.3">
      <c r="C20" s="1" t="s">
        <v>15</v>
      </c>
      <c r="D20" s="7">
        <v>400</v>
      </c>
      <c r="E20" s="8">
        <v>0.2857142857142857</v>
      </c>
      <c r="F20" s="16">
        <v>378.23210831721474</v>
      </c>
      <c r="G20" s="8">
        <v>0.46</v>
      </c>
      <c r="H20" s="16">
        <v>11.555125725338492</v>
      </c>
      <c r="I20" s="8">
        <v>0.02</v>
      </c>
    </row>
    <row r="21" spans="3:17" x14ac:dyDescent="0.3">
      <c r="C21" s="1" t="s">
        <v>3</v>
      </c>
      <c r="D21" s="7">
        <v>600</v>
      </c>
      <c r="E21" s="8">
        <v>0.42857142857142855</v>
      </c>
      <c r="F21" s="15">
        <v>32.889748549323016</v>
      </c>
      <c r="G21" s="8">
        <v>0.04</v>
      </c>
      <c r="H21" s="16">
        <v>566.20116054158609</v>
      </c>
      <c r="I21" s="8">
        <v>0.98</v>
      </c>
    </row>
    <row r="22" spans="3:17" x14ac:dyDescent="0.3">
      <c r="C22" s="1" t="s">
        <v>16</v>
      </c>
      <c r="D22" s="7">
        <v>400</v>
      </c>
      <c r="E22" s="8">
        <v>0.2857142857142857</v>
      </c>
      <c r="F22" s="15">
        <v>411.12185686653771</v>
      </c>
      <c r="G22" s="20">
        <v>0.5</v>
      </c>
      <c r="H22" s="16">
        <v>0</v>
      </c>
      <c r="I22" s="8">
        <v>0</v>
      </c>
    </row>
    <row r="23" spans="3:17" x14ac:dyDescent="0.3">
      <c r="C23" s="1" t="s">
        <v>4</v>
      </c>
      <c r="D23" s="7">
        <v>1400</v>
      </c>
      <c r="E23" s="17">
        <v>0.99999999999999989</v>
      </c>
      <c r="F23" s="16">
        <v>822.24371373307542</v>
      </c>
      <c r="G23" s="17">
        <v>1</v>
      </c>
      <c r="H23" s="16">
        <v>577.75628626692458</v>
      </c>
      <c r="I23" s="17">
        <v>1</v>
      </c>
    </row>
    <row r="26" spans="3:17" ht="19.2" x14ac:dyDescent="0.3">
      <c r="C26" s="33" t="s">
        <v>18</v>
      </c>
      <c r="D26" s="33"/>
      <c r="E26" s="33"/>
      <c r="F26" s="33"/>
      <c r="G26" s="33"/>
      <c r="H26" s="33"/>
      <c r="I26" s="33"/>
      <c r="J26" s="33"/>
    </row>
    <row r="27" spans="3:17" x14ac:dyDescent="0.3">
      <c r="C27" s="19" t="s">
        <v>17</v>
      </c>
      <c r="D27" s="7">
        <v>1</v>
      </c>
      <c r="E27" s="7">
        <v>2</v>
      </c>
      <c r="F27" s="7">
        <v>3</v>
      </c>
      <c r="G27" s="7">
        <v>4</v>
      </c>
      <c r="H27" s="7">
        <v>5</v>
      </c>
      <c r="I27" s="7">
        <v>6</v>
      </c>
      <c r="J27" s="7">
        <v>7</v>
      </c>
    </row>
    <row r="28" spans="3:17" x14ac:dyDescent="0.3">
      <c r="C28" s="1" t="s">
        <v>15</v>
      </c>
      <c r="D28" s="17">
        <v>0.32</v>
      </c>
      <c r="E28" s="7">
        <v>0.26</v>
      </c>
      <c r="F28" s="7">
        <v>0.22</v>
      </c>
      <c r="G28" s="7">
        <v>0.17</v>
      </c>
      <c r="H28" s="7">
        <v>0.13</v>
      </c>
      <c r="I28" s="7">
        <v>7.0000000000000007E-2</v>
      </c>
      <c r="J28" s="17" cm="1">
        <f t="array" ref="J28:J30">M11:M13</f>
        <v>0.44500000000000001</v>
      </c>
    </row>
    <row r="29" spans="3:17" x14ac:dyDescent="0.3">
      <c r="C29" s="1" t="s">
        <v>3</v>
      </c>
      <c r="D29" s="7">
        <v>0.66</v>
      </c>
      <c r="E29" s="7">
        <v>0.73</v>
      </c>
      <c r="F29" s="7">
        <v>0.78</v>
      </c>
      <c r="G29" s="7">
        <v>0.83</v>
      </c>
      <c r="H29" s="7">
        <v>0.87</v>
      </c>
      <c r="I29" s="7">
        <f>0.93</f>
        <v>0.93</v>
      </c>
      <c r="J29" s="7">
        <v>0.51500000000000001</v>
      </c>
    </row>
    <row r="30" spans="3:17" x14ac:dyDescent="0.3">
      <c r="C30" s="1" t="s">
        <v>16</v>
      </c>
      <c r="D30" s="7">
        <v>0.02</v>
      </c>
      <c r="E30" s="7">
        <v>0.01</v>
      </c>
      <c r="F30" s="17">
        <v>0</v>
      </c>
      <c r="G30" s="17">
        <v>0</v>
      </c>
      <c r="H30" s="17">
        <v>0</v>
      </c>
      <c r="I30" s="17">
        <v>0</v>
      </c>
      <c r="J30" s="17">
        <v>0.04</v>
      </c>
      <c r="M30" s="3">
        <f>I44*I35</f>
        <v>5.1664246258062265</v>
      </c>
      <c r="N30" s="3">
        <f>M30/D11</f>
        <v>1.2916061564515566E-2</v>
      </c>
    </row>
    <row r="31" spans="3:17" x14ac:dyDescent="0.3">
      <c r="C31" s="1" t="s">
        <v>4</v>
      </c>
      <c r="D31" s="17">
        <f t="shared" ref="D31:I31" si="40">SUM(D28:D30)</f>
        <v>1</v>
      </c>
      <c r="E31" s="17">
        <f t="shared" si="40"/>
        <v>1</v>
      </c>
      <c r="F31" s="17">
        <f t="shared" si="40"/>
        <v>1</v>
      </c>
      <c r="G31" s="17">
        <f t="shared" si="40"/>
        <v>1</v>
      </c>
      <c r="H31" s="17">
        <f t="shared" si="40"/>
        <v>1</v>
      </c>
      <c r="I31" s="17">
        <f t="shared" si="40"/>
        <v>1</v>
      </c>
      <c r="J31" s="17">
        <f>SUM(J28:J30)</f>
        <v>1</v>
      </c>
    </row>
    <row r="33" spans="1:26" ht="19.2" x14ac:dyDescent="0.3">
      <c r="C33" s="33" t="s">
        <v>19</v>
      </c>
      <c r="D33" s="33"/>
      <c r="E33" s="33"/>
      <c r="F33" s="33"/>
      <c r="G33" s="33"/>
      <c r="H33" s="33"/>
      <c r="I33" s="33"/>
      <c r="J33" s="33"/>
    </row>
    <row r="34" spans="1:26" x14ac:dyDescent="0.3">
      <c r="C34" s="19" t="s">
        <v>17</v>
      </c>
      <c r="D34" s="7">
        <v>1</v>
      </c>
      <c r="E34" s="7">
        <v>2</v>
      </c>
      <c r="F34" s="7">
        <v>3</v>
      </c>
      <c r="G34" s="7">
        <v>4</v>
      </c>
      <c r="H34" s="7">
        <v>5</v>
      </c>
      <c r="I34" s="7">
        <v>6</v>
      </c>
      <c r="J34" s="7">
        <v>7</v>
      </c>
    </row>
    <row r="35" spans="1:26" x14ac:dyDescent="0.3">
      <c r="C35" s="1" t="s">
        <v>15</v>
      </c>
      <c r="D35" s="17" cm="1">
        <f t="array" ref="D35:D37">K11:K13</f>
        <v>0.56000000000000005</v>
      </c>
      <c r="E35" s="7">
        <v>0.38</v>
      </c>
      <c r="F35" s="17">
        <v>0.3</v>
      </c>
      <c r="G35" s="7">
        <v>0.245</v>
      </c>
      <c r="H35" s="7">
        <v>0.19</v>
      </c>
      <c r="I35" s="7">
        <v>0.12</v>
      </c>
      <c r="J35" s="17">
        <v>0.03</v>
      </c>
    </row>
    <row r="36" spans="1:26" x14ac:dyDescent="0.3">
      <c r="C36" s="1" t="s">
        <v>3</v>
      </c>
      <c r="D36" s="7">
        <v>0.08</v>
      </c>
      <c r="E36" s="7">
        <v>0.02</v>
      </c>
      <c r="F36" s="7">
        <v>0.01</v>
      </c>
      <c r="G36" s="7">
        <v>5.0000000000000001E-3</v>
      </c>
      <c r="H36" s="17">
        <v>0</v>
      </c>
      <c r="I36" s="17">
        <v>0</v>
      </c>
      <c r="J36" s="17">
        <v>0</v>
      </c>
    </row>
    <row r="37" spans="1:26" x14ac:dyDescent="0.3">
      <c r="C37" s="1" t="s">
        <v>16</v>
      </c>
      <c r="D37" s="17">
        <v>0.36</v>
      </c>
      <c r="E37" s="17">
        <v>0.6</v>
      </c>
      <c r="F37" s="17">
        <v>0.69</v>
      </c>
      <c r="G37" s="17">
        <v>0.75</v>
      </c>
      <c r="H37" s="17">
        <v>0.81</v>
      </c>
      <c r="I37" s="17">
        <v>0.88</v>
      </c>
      <c r="J37" s="17">
        <v>0.97</v>
      </c>
    </row>
    <row r="38" spans="1:26" x14ac:dyDescent="0.3">
      <c r="C38" s="1" t="s">
        <v>4</v>
      </c>
      <c r="D38" s="17">
        <f t="shared" ref="D38:I38" si="41">SUM(D35:D37)</f>
        <v>1</v>
      </c>
      <c r="E38" s="17">
        <f t="shared" si="41"/>
        <v>1</v>
      </c>
      <c r="F38" s="17">
        <f t="shared" si="41"/>
        <v>1</v>
      </c>
      <c r="G38" s="17">
        <f t="shared" si="41"/>
        <v>1</v>
      </c>
      <c r="H38" s="17">
        <f t="shared" si="41"/>
        <v>1</v>
      </c>
      <c r="I38" s="17">
        <f t="shared" si="41"/>
        <v>1</v>
      </c>
      <c r="J38" s="17">
        <f>SUM(J35:J37)</f>
        <v>1</v>
      </c>
    </row>
    <row r="40" spans="1:26" x14ac:dyDescent="0.3">
      <c r="A40" s="3" t="s">
        <v>22</v>
      </c>
      <c r="B40" s="1" t="s">
        <v>26</v>
      </c>
      <c r="C40" s="19" t="s">
        <v>17</v>
      </c>
      <c r="D40" s="1">
        <v>1</v>
      </c>
      <c r="E40" s="1">
        <v>2</v>
      </c>
      <c r="F40" s="1">
        <v>3</v>
      </c>
      <c r="G40" s="1">
        <v>4</v>
      </c>
      <c r="H40" s="1">
        <v>5</v>
      </c>
      <c r="I40" s="1">
        <v>6</v>
      </c>
      <c r="J40" s="1">
        <v>7</v>
      </c>
      <c r="K40" s="3">
        <v>8</v>
      </c>
      <c r="L40" s="3">
        <v>1</v>
      </c>
      <c r="M40" s="3">
        <f>L40+1</f>
        <v>2</v>
      </c>
      <c r="N40" s="3">
        <f t="shared" ref="N40:R40" si="42">M40+1</f>
        <v>3</v>
      </c>
      <c r="O40" s="3">
        <f t="shared" si="42"/>
        <v>4</v>
      </c>
      <c r="P40" s="3">
        <f t="shared" si="42"/>
        <v>5</v>
      </c>
      <c r="Q40" s="3">
        <f t="shared" si="42"/>
        <v>6</v>
      </c>
      <c r="R40" s="3">
        <f t="shared" si="42"/>
        <v>7</v>
      </c>
      <c r="T40" s="3">
        <v>1</v>
      </c>
      <c r="U40" s="3">
        <f>T40+1</f>
        <v>2</v>
      </c>
      <c r="V40" s="3">
        <f t="shared" ref="V40:Z40" si="43">U40+1</f>
        <v>3</v>
      </c>
      <c r="W40" s="3">
        <f t="shared" si="43"/>
        <v>4</v>
      </c>
      <c r="X40" s="3">
        <f t="shared" si="43"/>
        <v>5</v>
      </c>
      <c r="Y40" s="3">
        <f t="shared" si="43"/>
        <v>6</v>
      </c>
      <c r="Z40" s="3">
        <f t="shared" si="43"/>
        <v>7</v>
      </c>
    </row>
    <row r="41" spans="1:26" x14ac:dyDescent="0.3">
      <c r="A41" s="21">
        <f>D14-J14</f>
        <v>699.00478160919533</v>
      </c>
      <c r="B41" s="28" t="s">
        <v>7</v>
      </c>
      <c r="C41" s="7" t="s">
        <v>15</v>
      </c>
      <c r="D41" s="16">
        <f>$F$23</f>
        <v>822.24371373307542</v>
      </c>
      <c r="E41" s="16">
        <f>(D28*$A$41+$J$11-$D$11)/(E35-D28)</f>
        <v>-129.35245977011411</v>
      </c>
      <c r="F41" s="16">
        <f t="shared" ref="F41:J41" si="44">(E28*$A$41+$J$11-$D$11)/(F35-E28)</f>
        <v>-1242.5358620689656</v>
      </c>
      <c r="G41" s="16">
        <f t="shared" si="44"/>
        <v>-3106.4650298850561</v>
      </c>
      <c r="H41" s="16">
        <f t="shared" si="44"/>
        <v>-5630.5932413793098</v>
      </c>
      <c r="I41" s="22">
        <f t="shared" si="44"/>
        <v>14057.205609195385</v>
      </c>
      <c r="J41" s="16">
        <f t="shared" si="44"/>
        <v>4562.8085747126415</v>
      </c>
    </row>
    <row r="42" spans="1:26" x14ac:dyDescent="0.3">
      <c r="B42" s="28"/>
      <c r="C42" s="7" t="s">
        <v>16</v>
      </c>
      <c r="D42" s="16">
        <f>$F$23</f>
        <v>822.24371373307542</v>
      </c>
      <c r="E42" s="16">
        <f t="shared" ref="E42:J42" si="45">(D29*$A$41+$J$12-$D$12)/(E36-D29)</f>
        <v>179.02691666666666</v>
      </c>
      <c r="F42" s="16">
        <f t="shared" si="45"/>
        <v>91.176238825032073</v>
      </c>
      <c r="G42" s="16">
        <f t="shared" si="45"/>
        <v>39.608584352984856</v>
      </c>
      <c r="H42" s="16">
        <f t="shared" si="45"/>
        <v>-5.1248026589113778</v>
      </c>
      <c r="I42" s="16">
        <f t="shared" si="45"/>
        <v>-37.027330426740548</v>
      </c>
      <c r="J42" s="16">
        <f t="shared" si="45"/>
        <v>-79.735553083673082</v>
      </c>
    </row>
    <row r="43" spans="1:26" x14ac:dyDescent="0.3">
      <c r="B43" s="28"/>
      <c r="C43" s="7" t="s">
        <v>3</v>
      </c>
      <c r="D43" s="16">
        <f>$F$23</f>
        <v>822.24371373307542</v>
      </c>
      <c r="E43" s="16">
        <f t="shared" ref="E43:J43" si="46">(D30*$A$41+$J$13-$D$13)/(E37-D30)</f>
        <v>210.9282314704717</v>
      </c>
      <c r="F43" s="16">
        <f t="shared" si="46"/>
        <v>169.62989181879652</v>
      </c>
      <c r="G43" s="16">
        <f t="shared" si="46"/>
        <v>144.47770482758622</v>
      </c>
      <c r="H43" s="16">
        <f t="shared" si="46"/>
        <v>133.77565261813538</v>
      </c>
      <c r="I43" s="16">
        <f t="shared" si="46"/>
        <v>123.13440752351099</v>
      </c>
      <c r="J43" s="16">
        <f t="shared" si="46"/>
        <v>111.70956558833987</v>
      </c>
    </row>
    <row r="44" spans="1:26" x14ac:dyDescent="0.3">
      <c r="B44" s="28"/>
      <c r="C44" s="7" t="s">
        <v>24</v>
      </c>
      <c r="D44" s="16">
        <f>AVERAGE(D42:D43)</f>
        <v>822.24371373307542</v>
      </c>
      <c r="E44" s="16">
        <f t="shared" ref="E44:J44" si="47">AVERAGE(E42:E43)</f>
        <v>194.9775740685692</v>
      </c>
      <c r="F44" s="16">
        <f t="shared" si="47"/>
        <v>130.40306532191431</v>
      </c>
      <c r="G44" s="16">
        <f t="shared" si="47"/>
        <v>92.043144590285536</v>
      </c>
      <c r="H44" s="16">
        <f t="shared" si="47"/>
        <v>64.325424979611995</v>
      </c>
      <c r="I44" s="16">
        <f t="shared" si="47"/>
        <v>43.05353854838522</v>
      </c>
      <c r="J44" s="16">
        <f t="shared" si="47"/>
        <v>15.987006252333394</v>
      </c>
      <c r="K44" s="3">
        <v>400</v>
      </c>
    </row>
    <row r="45" spans="1:26" x14ac:dyDescent="0.3">
      <c r="B45" s="7" t="s">
        <v>8</v>
      </c>
      <c r="C45" s="7" t="s">
        <v>24</v>
      </c>
      <c r="D45" s="16">
        <f>$A$41+E44</f>
        <v>893.98235567776453</v>
      </c>
      <c r="E45" s="16">
        <f>$A$41+F44</f>
        <v>829.40784693110959</v>
      </c>
      <c r="F45" s="16">
        <f t="shared" ref="F45:J45" si="48">$A$41+G44</f>
        <v>791.04792619948091</v>
      </c>
      <c r="G45" s="16">
        <f t="shared" si="48"/>
        <v>763.3302065888073</v>
      </c>
      <c r="H45" s="16">
        <f t="shared" si="48"/>
        <v>742.05832015758051</v>
      </c>
      <c r="I45" s="16">
        <f t="shared" si="48"/>
        <v>714.99178786152868</v>
      </c>
      <c r="J45" s="16">
        <f t="shared" si="48"/>
        <v>1099.0047816091953</v>
      </c>
    </row>
    <row r="46" spans="1:26" x14ac:dyDescent="0.3">
      <c r="A46" s="3" t="s">
        <v>25</v>
      </c>
      <c r="D46" s="23">
        <f>D44+D45</f>
        <v>1716.22606941084</v>
      </c>
      <c r="E46" s="23">
        <f t="shared" ref="E46:J46" si="49">E44+E45</f>
        <v>1024.3854209996789</v>
      </c>
      <c r="F46" s="23">
        <f t="shared" si="49"/>
        <v>921.45099152139528</v>
      </c>
      <c r="G46" s="23">
        <f t="shared" si="49"/>
        <v>855.37335117909288</v>
      </c>
      <c r="H46" s="23">
        <f t="shared" si="49"/>
        <v>806.38374513719248</v>
      </c>
      <c r="I46" s="23">
        <f t="shared" si="49"/>
        <v>758.04532640991386</v>
      </c>
      <c r="J46" s="23">
        <f t="shared" si="49"/>
        <v>1114.9917878615288</v>
      </c>
    </row>
    <row r="47" spans="1:26" x14ac:dyDescent="0.3">
      <c r="E47" s="21">
        <f>D45+F44</f>
        <v>1024.3854209996789</v>
      </c>
      <c r="F47" s="21">
        <f t="shared" ref="F47:I47" si="50">E45+G44</f>
        <v>921.45099152139517</v>
      </c>
      <c r="G47" s="21">
        <f t="shared" si="50"/>
        <v>855.37335117909288</v>
      </c>
      <c r="H47" s="21">
        <f t="shared" si="50"/>
        <v>806.38374513719248</v>
      </c>
      <c r="I47" s="21">
        <f t="shared" si="50"/>
        <v>758.04532640991386</v>
      </c>
    </row>
    <row r="49" spans="2:17" x14ac:dyDescent="0.3">
      <c r="C49" s="3">
        <f>D11</f>
        <v>400</v>
      </c>
      <c r="D49" s="21">
        <f>L11</f>
        <v>409.16271781609191</v>
      </c>
    </row>
    <row r="51" spans="2:17" x14ac:dyDescent="0.3">
      <c r="B51" s="34" t="s">
        <v>26</v>
      </c>
      <c r="C51" s="19" t="s">
        <v>17</v>
      </c>
      <c r="D51" s="31">
        <v>1</v>
      </c>
      <c r="E51" s="32"/>
      <c r="F51" s="31">
        <v>2</v>
      </c>
      <c r="G51" s="32"/>
      <c r="H51" s="31">
        <v>3</v>
      </c>
      <c r="I51" s="32"/>
      <c r="J51" s="34">
        <v>4</v>
      </c>
      <c r="K51" s="34"/>
      <c r="L51" s="34">
        <v>5</v>
      </c>
      <c r="M51" s="34"/>
      <c r="N51" s="34">
        <v>6</v>
      </c>
      <c r="O51" s="34"/>
      <c r="P51" s="34">
        <v>7</v>
      </c>
      <c r="Q51" s="34"/>
    </row>
    <row r="52" spans="2:17" x14ac:dyDescent="0.3">
      <c r="B52" s="34"/>
      <c r="C52" s="27" t="s">
        <v>2</v>
      </c>
      <c r="D52" s="14" t="s">
        <v>11</v>
      </c>
      <c r="E52" s="14" t="s">
        <v>12</v>
      </c>
      <c r="F52" s="14" t="s">
        <v>11</v>
      </c>
      <c r="G52" s="14" t="s">
        <v>12</v>
      </c>
      <c r="H52" s="14" t="s">
        <v>11</v>
      </c>
      <c r="I52" s="14" t="s">
        <v>12</v>
      </c>
      <c r="J52" s="14" t="s">
        <v>11</v>
      </c>
      <c r="K52" s="14" t="s">
        <v>12</v>
      </c>
      <c r="L52" s="14" t="s">
        <v>11</v>
      </c>
      <c r="M52" s="14" t="s">
        <v>12</v>
      </c>
      <c r="N52" s="14" t="s">
        <v>11</v>
      </c>
      <c r="O52" s="14" t="s">
        <v>12</v>
      </c>
      <c r="P52" s="14" t="s">
        <v>11</v>
      </c>
      <c r="Q52" s="14" t="s">
        <v>12</v>
      </c>
    </row>
    <row r="53" spans="2:17" x14ac:dyDescent="0.3">
      <c r="B53" s="34" t="s">
        <v>32</v>
      </c>
      <c r="C53" s="5" t="s">
        <v>15</v>
      </c>
      <c r="D53" s="25">
        <v>409.16271781609191</v>
      </c>
      <c r="E53" s="8">
        <v>0.44500000000000001</v>
      </c>
      <c r="F53" s="16">
        <v>280.6248878429933</v>
      </c>
      <c r="G53" s="8">
        <v>0.42</v>
      </c>
      <c r="H53" s="16">
        <v>166.00616810759058</v>
      </c>
      <c r="I53" s="8">
        <v>0.36</v>
      </c>
      <c r="J53" s="16">
        <v>89.351911026916213</v>
      </c>
      <c r="K53" s="7">
        <v>0.26</v>
      </c>
      <c r="L53" s="16">
        <v>51.074981000017075</v>
      </c>
      <c r="M53" s="7">
        <v>0.18</v>
      </c>
      <c r="N53" s="16">
        <v>25.168625861301734</v>
      </c>
      <c r="O53" s="17">
        <v>0.1</v>
      </c>
      <c r="P53" s="16">
        <v>9.4714016701905912</v>
      </c>
      <c r="Q53" s="7">
        <v>0.04</v>
      </c>
    </row>
    <row r="54" spans="2:17" x14ac:dyDescent="0.3">
      <c r="B54" s="34"/>
      <c r="C54" s="5" t="s">
        <v>3</v>
      </c>
      <c r="D54" s="16">
        <v>473.52539252873561</v>
      </c>
      <c r="E54" s="8">
        <v>0.51500000000000001</v>
      </c>
      <c r="F54" s="16">
        <v>360.80342722670576</v>
      </c>
      <c r="G54" s="8">
        <v>0.54</v>
      </c>
      <c r="H54" s="16">
        <v>285.89951174085041</v>
      </c>
      <c r="I54" s="8">
        <v>0.62</v>
      </c>
      <c r="J54" s="16">
        <v>250.87267326788012</v>
      </c>
      <c r="K54" s="7">
        <v>0.73</v>
      </c>
      <c r="L54" s="16">
        <v>232.67491344452225</v>
      </c>
      <c r="M54" s="7">
        <v>0.82</v>
      </c>
      <c r="N54" s="16">
        <v>226.51763275171558</v>
      </c>
      <c r="O54" s="17">
        <v>0.9</v>
      </c>
      <c r="P54" s="16">
        <v>227.31364008457419</v>
      </c>
      <c r="Q54" s="7">
        <v>0.96</v>
      </c>
    </row>
    <row r="55" spans="2:17" x14ac:dyDescent="0.3">
      <c r="B55" s="34"/>
      <c r="C55" s="5" t="s">
        <v>16</v>
      </c>
      <c r="D55" s="16">
        <v>36.778671264367816</v>
      </c>
      <c r="E55" s="18">
        <v>0.04</v>
      </c>
      <c r="F55" s="16">
        <v>26.726179794570793</v>
      </c>
      <c r="G55" s="8">
        <v>0.04</v>
      </c>
      <c r="H55" s="16">
        <v>9.2225648948661441</v>
      </c>
      <c r="I55" s="8">
        <v>0.02</v>
      </c>
      <c r="J55" s="16">
        <v>3.4366119625737004</v>
      </c>
      <c r="K55" s="7">
        <v>0.01</v>
      </c>
      <c r="L55" s="16">
        <v>0</v>
      </c>
      <c r="M55" s="17">
        <v>0</v>
      </c>
      <c r="N55" s="16">
        <v>0</v>
      </c>
      <c r="O55" s="17">
        <v>0</v>
      </c>
      <c r="P55" s="16">
        <v>0</v>
      </c>
      <c r="Q55" s="17">
        <v>0</v>
      </c>
    </row>
    <row r="56" spans="2:17" x14ac:dyDescent="0.3">
      <c r="B56" s="34"/>
      <c r="C56" s="5" t="s">
        <v>4</v>
      </c>
      <c r="D56" s="16">
        <v>919.46678160919532</v>
      </c>
      <c r="E56" s="17">
        <v>1</v>
      </c>
      <c r="F56" s="16">
        <v>668.15449486426985</v>
      </c>
      <c r="G56" s="17">
        <v>1</v>
      </c>
      <c r="H56" s="16">
        <v>461.12824474330716</v>
      </c>
      <c r="I56" s="17">
        <v>1</v>
      </c>
      <c r="J56" s="16">
        <v>343.66119625737002</v>
      </c>
      <c r="K56" s="17">
        <v>1</v>
      </c>
      <c r="L56" s="16">
        <v>283.74989444453934</v>
      </c>
      <c r="M56" s="17">
        <v>1</v>
      </c>
      <c r="N56" s="16">
        <v>251.68625861301732</v>
      </c>
      <c r="O56" s="17">
        <v>1</v>
      </c>
      <c r="P56" s="16">
        <v>236.78504175476479</v>
      </c>
      <c r="Q56" s="17">
        <v>1</v>
      </c>
    </row>
    <row r="57" spans="2:17" x14ac:dyDescent="0.3">
      <c r="B57" s="34" t="s">
        <v>33</v>
      </c>
      <c r="C57" s="5" t="s">
        <v>15</v>
      </c>
      <c r="D57" s="16">
        <v>168.55732229885064</v>
      </c>
      <c r="E57" s="7">
        <v>0.56000000000000005</v>
      </c>
      <c r="F57" s="16">
        <v>264.19360057715829</v>
      </c>
      <c r="G57" s="7">
        <v>0.56000000000000005</v>
      </c>
      <c r="H57" s="16">
        <v>209.46924255927172</v>
      </c>
      <c r="I57" s="7">
        <v>0.49</v>
      </c>
      <c r="J57" s="16">
        <v>128.41303842465612</v>
      </c>
      <c r="K57" s="7">
        <v>0.38</v>
      </c>
      <c r="L57" s="16">
        <v>72.897058471335967</v>
      </c>
      <c r="M57" s="7">
        <v>0.26</v>
      </c>
      <c r="N57" s="16">
        <v>37.8788453747283</v>
      </c>
      <c r="O57" s="7">
        <v>0.15</v>
      </c>
      <c r="P57" s="16">
        <v>14.121793011495152</v>
      </c>
      <c r="Q57" s="7">
        <v>0.06</v>
      </c>
    </row>
    <row r="58" spans="2:17" x14ac:dyDescent="0.3">
      <c r="B58" s="34"/>
      <c r="C58" s="5" t="s">
        <v>3</v>
      </c>
      <c r="D58" s="16">
        <v>24.079617471264374</v>
      </c>
      <c r="E58" s="7">
        <v>0.08</v>
      </c>
      <c r="F58" s="16">
        <v>33.024200072144787</v>
      </c>
      <c r="G58" s="7">
        <v>7.0000000000000007E-2</v>
      </c>
      <c r="H58" s="16">
        <v>21.374412506048134</v>
      </c>
      <c r="I58" s="7">
        <v>0.05</v>
      </c>
      <c r="J58" s="16">
        <v>6.7585809697187429</v>
      </c>
      <c r="K58" s="7">
        <v>0.02</v>
      </c>
      <c r="L58" s="16">
        <v>0</v>
      </c>
      <c r="M58" s="17">
        <v>0</v>
      </c>
      <c r="N58" s="16">
        <v>0</v>
      </c>
      <c r="O58" s="17">
        <v>0</v>
      </c>
      <c r="P58" s="16">
        <v>0</v>
      </c>
      <c r="Q58" s="17">
        <v>0</v>
      </c>
    </row>
    <row r="59" spans="2:17" x14ac:dyDescent="0.3">
      <c r="B59" s="34"/>
      <c r="C59" s="5" t="s">
        <v>16</v>
      </c>
      <c r="D59" s="16">
        <v>108.35827862068967</v>
      </c>
      <c r="E59" s="7">
        <v>0.36</v>
      </c>
      <c r="F59" s="16">
        <v>174.55648609562243</v>
      </c>
      <c r="G59" s="7">
        <v>0.37</v>
      </c>
      <c r="H59" s="16">
        <v>196.64459505564284</v>
      </c>
      <c r="I59" s="7">
        <v>0.46</v>
      </c>
      <c r="J59" s="16">
        <v>202.75742909156227</v>
      </c>
      <c r="K59" s="7">
        <v>0.6</v>
      </c>
      <c r="L59" s="16">
        <v>207.47624334149467</v>
      </c>
      <c r="M59" s="7">
        <v>0.74</v>
      </c>
      <c r="N59" s="16">
        <v>214.6467904567937</v>
      </c>
      <c r="O59" s="7">
        <v>0.85</v>
      </c>
      <c r="P59" s="16">
        <v>221.24142384675739</v>
      </c>
      <c r="Q59" s="7">
        <v>0.94</v>
      </c>
    </row>
    <row r="60" spans="2:17" x14ac:dyDescent="0.3">
      <c r="B60" s="34"/>
      <c r="C60" s="5" t="s">
        <v>4</v>
      </c>
      <c r="D60" s="16">
        <v>300.99521839080467</v>
      </c>
      <c r="E60" s="17">
        <v>1</v>
      </c>
      <c r="F60" s="16">
        <v>471.77428674492546</v>
      </c>
      <c r="G60" s="17">
        <v>1</v>
      </c>
      <c r="H60" s="16">
        <v>427.48825012096268</v>
      </c>
      <c r="I60" s="17">
        <v>1</v>
      </c>
      <c r="J60" s="16">
        <v>337.92904848593713</v>
      </c>
      <c r="K60" s="17">
        <v>1</v>
      </c>
      <c r="L60" s="16">
        <v>280.37330181283062</v>
      </c>
      <c r="M60" s="17">
        <v>1</v>
      </c>
      <c r="N60" s="16">
        <v>252.52563583152201</v>
      </c>
      <c r="O60" s="17">
        <v>1</v>
      </c>
      <c r="P60" s="16">
        <v>235.36321685825254</v>
      </c>
      <c r="Q60" s="17">
        <v>1</v>
      </c>
    </row>
    <row r="63" spans="2:17" x14ac:dyDescent="0.3">
      <c r="D63" s="3" t="s">
        <v>28</v>
      </c>
      <c r="E63" s="3" t="s">
        <v>29</v>
      </c>
    </row>
    <row r="64" spans="2:17" x14ac:dyDescent="0.3">
      <c r="D64" s="12">
        <f>ABS((D53-D11)/D11)*100</f>
        <v>2.2906794540229782</v>
      </c>
      <c r="E64" s="26" t="s">
        <v>23</v>
      </c>
      <c r="F64" s="12">
        <f>(D53-F53)/D53*100</f>
        <v>31.414844113649927</v>
      </c>
      <c r="G64" s="26">
        <f>($D$11-(F53-D53))/$D$11*100-100</f>
        <v>32.134457493274653</v>
      </c>
      <c r="H64" s="12">
        <f t="shared" ref="H64:L64" si="51">(F53-H53)/F53*100</f>
        <v>40.844103534940459</v>
      </c>
      <c r="I64" s="26">
        <f>($D$11-(H53-F53))/$D$11*100-100</f>
        <v>28.654679933850673</v>
      </c>
      <c r="J64" s="12">
        <f>(H53-J53)/H53*100</f>
        <v>46.175547544109222</v>
      </c>
      <c r="K64" s="26">
        <f>($D$11-(J53-H53))/$D$11*100-100</f>
        <v>19.163564270168592</v>
      </c>
      <c r="L64" s="12">
        <f t="shared" si="51"/>
        <v>42.838401089562218</v>
      </c>
      <c r="M64" s="26">
        <f>($D$11-(L53-J53))/$D$11*100-100</f>
        <v>9.5692325067247879</v>
      </c>
      <c r="N64" s="12">
        <f>(L53-N53)/L53*100</f>
        <v>50.722202204454426</v>
      </c>
      <c r="O64" s="26">
        <f>($D$11-(N53-L53))/$D$11*100-100</f>
        <v>6.476588784678853</v>
      </c>
      <c r="P64" s="12">
        <f>(N53-P53)/N53*100</f>
        <v>62.368220965319225</v>
      </c>
      <c r="Q64" s="26">
        <f>($D$11-(P53-N53))/$D$11*100-100</f>
        <v>3.924306047777776</v>
      </c>
    </row>
    <row r="65" spans="4:17" x14ac:dyDescent="0.3">
      <c r="D65" s="12"/>
      <c r="E65" s="12"/>
      <c r="F65" s="12">
        <f>(D57-F57)/D57*100</f>
        <v>-56.738133338844442</v>
      </c>
      <c r="G65" s="12"/>
      <c r="H65" s="12">
        <f t="shared" ref="H65:P65" si="52">(F57-H57)/F57*100</f>
        <v>20.71373337519741</v>
      </c>
      <c r="I65" s="12"/>
      <c r="J65" s="12">
        <f t="shared" si="52"/>
        <v>38.695993332615316</v>
      </c>
      <c r="K65" s="12"/>
      <c r="L65" s="12">
        <f t="shared" si="52"/>
        <v>43.232354466788109</v>
      </c>
      <c r="M65" s="12"/>
      <c r="N65" s="12">
        <f t="shared" si="52"/>
        <v>48.037895946620765</v>
      </c>
      <c r="O65" s="12"/>
      <c r="P65" s="12">
        <f t="shared" si="52"/>
        <v>62.718523038939267</v>
      </c>
      <c r="Q65" s="12"/>
    </row>
    <row r="68" spans="4:17" x14ac:dyDescent="0.3">
      <c r="F68" s="12">
        <f>SUM(E64,G64,I64,K64,M64,O64,Q64)</f>
        <v>99.922829036475335</v>
      </c>
    </row>
  </sheetData>
  <mergeCells count="51">
    <mergeCell ref="H9:I9"/>
    <mergeCell ref="J9:K9"/>
    <mergeCell ref="L9:M9"/>
    <mergeCell ref="AH9:AI9"/>
    <mergeCell ref="B41:B44"/>
    <mergeCell ref="N9:O9"/>
    <mergeCell ref="P9:Q9"/>
    <mergeCell ref="R9:S9"/>
    <mergeCell ref="T9:U9"/>
    <mergeCell ref="V9:W9"/>
    <mergeCell ref="C18:C19"/>
    <mergeCell ref="D18:E18"/>
    <mergeCell ref="F18:G18"/>
    <mergeCell ref="H18:I18"/>
    <mergeCell ref="C26:J26"/>
    <mergeCell ref="C33:J33"/>
    <mergeCell ref="C9:C10"/>
    <mergeCell ref="D9:E9"/>
    <mergeCell ref="F9:G9"/>
    <mergeCell ref="X9:Y9"/>
    <mergeCell ref="Z9:AA9"/>
    <mergeCell ref="AB9:AC9"/>
    <mergeCell ref="AD9:AE9"/>
    <mergeCell ref="AF9:AG9"/>
    <mergeCell ref="BF9:BG9"/>
    <mergeCell ref="AJ9:AK9"/>
    <mergeCell ref="AL9:AM9"/>
    <mergeCell ref="AN9:AO9"/>
    <mergeCell ref="AP9:AQ9"/>
    <mergeCell ref="AR9:AS9"/>
    <mergeCell ref="AT9:AU9"/>
    <mergeCell ref="AV9:AW9"/>
    <mergeCell ref="AX9:AY9"/>
    <mergeCell ref="AZ9:BA9"/>
    <mergeCell ref="BB9:BC9"/>
    <mergeCell ref="BD9:BE9"/>
    <mergeCell ref="BH9:BI9"/>
    <mergeCell ref="BJ9:BK9"/>
    <mergeCell ref="BL9:BM9"/>
    <mergeCell ref="BN9:BO9"/>
    <mergeCell ref="BP9:BQ9"/>
    <mergeCell ref="L51:M51"/>
    <mergeCell ref="N51:O51"/>
    <mergeCell ref="P51:Q51"/>
    <mergeCell ref="B53:B56"/>
    <mergeCell ref="B57:B60"/>
    <mergeCell ref="B51:B52"/>
    <mergeCell ref="D51:E51"/>
    <mergeCell ref="F51:G51"/>
    <mergeCell ref="H51:I51"/>
    <mergeCell ref="J51:K51"/>
  </mergeCells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2EFA4-10DC-40D4-8E2C-D9B8159F2F9C}">
  <dimension ref="B4:H6"/>
  <sheetViews>
    <sheetView workbookViewId="0">
      <selection activeCell="I8" sqref="I8"/>
    </sheetView>
  </sheetViews>
  <sheetFormatPr defaultRowHeight="18" x14ac:dyDescent="0.3"/>
  <cols>
    <col min="1" max="1" width="8.88671875" style="3"/>
    <col min="2" max="2" width="15.44140625" style="3" customWidth="1"/>
    <col min="3" max="16384" width="8.88671875" style="3"/>
  </cols>
  <sheetData>
    <row r="4" spans="2:8" x14ac:dyDescent="0.3">
      <c r="B4" s="19" t="s">
        <v>17</v>
      </c>
      <c r="C4" s="1">
        <v>2</v>
      </c>
      <c r="D4" s="1">
        <v>3</v>
      </c>
      <c r="E4" s="1">
        <v>4</v>
      </c>
      <c r="F4" s="1">
        <v>5</v>
      </c>
      <c r="G4" s="1">
        <v>6</v>
      </c>
      <c r="H4" s="1">
        <v>7</v>
      </c>
    </row>
    <row r="5" spans="2:8" x14ac:dyDescent="0.3">
      <c r="B5" s="1" t="s">
        <v>30</v>
      </c>
      <c r="C5" s="15">
        <v>31.414844113649927</v>
      </c>
      <c r="D5" s="15">
        <v>40.844103534940459</v>
      </c>
      <c r="E5" s="15">
        <v>46.175547544109222</v>
      </c>
      <c r="F5" s="15">
        <v>42.838401089562218</v>
      </c>
      <c r="G5" s="15">
        <v>50.722202204454426</v>
      </c>
      <c r="H5" s="15">
        <v>62.368220965319225</v>
      </c>
    </row>
    <row r="6" spans="2:8" x14ac:dyDescent="0.3">
      <c r="B6" s="1" t="s">
        <v>31</v>
      </c>
      <c r="C6" s="15">
        <v>32.134457493274653</v>
      </c>
      <c r="D6" s="15">
        <v>28.654679933850673</v>
      </c>
      <c r="E6" s="15">
        <v>19.163564270168592</v>
      </c>
      <c r="F6" s="15">
        <v>9.5692325067247879</v>
      </c>
      <c r="G6" s="15">
        <v>6.476588784678853</v>
      </c>
      <c r="H6" s="15">
        <v>3.924306047777776</v>
      </c>
    </row>
  </sheetData>
  <pageMargins left="0.7" right="0.7" top="0.75" bottom="0.75" header="0.3" footer="0.3"/>
  <pageSetup orientation="portrait" horizontalDpi="300" verticalDpi="3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7349067DA3DE94C88EE5D6D19C2C5ED" ma:contentTypeVersion="13" ma:contentTypeDescription="Create a new document." ma:contentTypeScope="" ma:versionID="6a0371ca40a98d881e89f261cc370a07">
  <xsd:schema xmlns:xsd="http://www.w3.org/2001/XMLSchema" xmlns:xs="http://www.w3.org/2001/XMLSchema" xmlns:p="http://schemas.microsoft.com/office/2006/metadata/properties" xmlns:ns3="fddcbb69-5ee9-4923-994d-03d6a9cf7e19" xmlns:ns4="39acffd2-7e01-411f-8cfb-a3393048a943" targetNamespace="http://schemas.microsoft.com/office/2006/metadata/properties" ma:root="true" ma:fieldsID="232f4cdf123a08d5ce9bf699da7eeb6f" ns3:_="" ns4:_="">
    <xsd:import namespace="fddcbb69-5ee9-4923-994d-03d6a9cf7e19"/>
    <xsd:import namespace="39acffd2-7e01-411f-8cfb-a3393048a94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SearchPropertie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dcbb69-5ee9-4923-994d-03d6a9cf7e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9acffd2-7e01-411f-8cfb-a3393048a94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ddcbb69-5ee9-4923-994d-03d6a9cf7e1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6D964FD-361A-4E7B-A0BF-0529188ADCF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dcbb69-5ee9-4923-994d-03d6a9cf7e19"/>
    <ds:schemaRef ds:uri="39acffd2-7e01-411f-8cfb-a3393048a94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8AC591E-99A4-43A5-80D1-1A28811A474A}">
  <ds:schemaRefs>
    <ds:schemaRef ds:uri="39acffd2-7e01-411f-8cfb-a3393048a943"/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purl.org/dc/elements/1.1/"/>
    <ds:schemaRef ds:uri="http://purl.org/dc/dcmitype/"/>
    <ds:schemaRef ds:uri="fddcbb69-5ee9-4923-994d-03d6a9cf7e19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883C853-0186-4501-88D6-D3024711890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P1</vt:lpstr>
      <vt:lpstr>P2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Heng1, Patrick V</dc:creator>
  <cp:lastModifiedBy>Heng1, Patrick V</cp:lastModifiedBy>
  <dcterms:created xsi:type="dcterms:W3CDTF">2025-02-09T17:44:36Z</dcterms:created>
  <dcterms:modified xsi:type="dcterms:W3CDTF">2025-04-25T21:05:55Z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0x01010087349067DA3DE94C88EE5D6D19C2C5ED</vt:lpwstr>
  </property>
</Properties>
</file>